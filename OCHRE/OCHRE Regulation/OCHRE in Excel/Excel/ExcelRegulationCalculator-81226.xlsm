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13_ncr:1_{AF8A014E-CEB0-4DD1-A507-C119285025CD}" xr6:coauthVersionLast="47" xr6:coauthVersionMax="47" xr10:uidLastSave="{00000000-0000-0000-0000-000000000000}"/>
  <bookViews>
    <workbookView xWindow="-5670" yWindow="-21600" windowWidth="25815" windowHeight="20985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state="hidden" r:id="rId8"/>
    <sheet name="(Non)Ideal Flex Load" sheetId="2" state="hidden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<sst xmlns="http://schemas.openxmlformats.org/spreadsheetml/2006/main" count="717" uniqueCount="196">
  <si>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</si>
  <si>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</si>
  <si>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</si>
  <si>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</si>
  <si>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</si>
  <si>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</si>
  <si>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</si>
  <si>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</si>
  <si>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</si>
  <si>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</si>
  <si>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</si>
  <si>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</si>
  <si>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</si>
  <si>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</si>
  <si>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</si>
  <si>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</si>
  <si>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</si>
  <si>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</si>
  <si>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</si>
  <si>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</si>
  <si>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</si>
  <si>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</si>
  <si>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</si>
  <si>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</si>
  <si>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</si>
  <si>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</si>
  <si>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</si>
  <si>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</si>
  <si>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</si>
  <si>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</si>
  <si>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</si>
  <si>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</si>
  <si>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</si>
  <si>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</si>
  <si>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</si>
  <si>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</si>
  <si>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</si>
  <si>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</si>
  <si>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</si>
  <si>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</si>
  <si>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</si>
  <si>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</si>
  <si>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</si>
  <si>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</si>
  <si>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</si>
  <si>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</si>
  <si>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</si>
  <si>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</si>
  <si>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</si>
  <si>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</si>
  <si>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</si>
  <si>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</si>
  <si>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</si>
  <si>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</si>
  <si>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</si>
  <si>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</si>
  <si>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</si>
  <si>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</si>
  <si>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</si>
  <si>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</si>
  <si>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</si>
  <si>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</si>
  <si>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</si>
  <si>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</si>
  <si>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</si>
  <si>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</si>
  <si>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</si>
  <si>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</si>
  <si>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</si>
  <si>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</si>
  <si>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</si>
  <si>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</si>
  <si>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</si>
  <si>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</si>
  <si>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</si>
  <si>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</si>
  <si>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</si>
  <si>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</si>
  <si>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</si>
  <si>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</si>
  <si>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</si>
  <si>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</si>
  <si>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</si>
  <si>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</si>
  <si>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</si>
  <si>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</si>
  <si>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</si>
  <si>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</si>
  <si>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</si>
  <si>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</si>
  <si>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</si>
  <si>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</si>
  <si>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</si>
  <si>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</si>
  <si>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</si>
  <si>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</si>
  <si>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</si>
  <si>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</si>
  <si>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</si>
  <si>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</si>
  <si>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</si>
  <si>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</si>
  <si>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</si>
  <si>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</si>
  <si>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</si>
  <si>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</si>
  <si>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</si>
  <si>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</si>
  <si>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</si>
  <si>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</si>
  <si>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</si>
  <si>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</si>
  <si>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</si>
  <si>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</si>
  <si>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</si>
  <si>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</si>
  <si>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</si>
  <si>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</si>
  <si>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</si>
  <si>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</si>
  <si>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</si>
  <si>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</si>
  <si>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</si>
  <si>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</si>
  <si>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</si>
  <si>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</si>
  <si>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</si>
  <si>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</si>
  <si>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</si>
  <si>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</si>
  <si>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</si>
  <si>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</si>
  <si>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</si>
  <si>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</si>
  <si>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</si>
  <si>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</si>
  <si>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</si>
  <si>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</si>
  <si>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</si>
  <si>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</si>
  <si>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</si>
  <si>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</si>
  <si>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</si>
  <si>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</si>
  <si>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</si>
  <si>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</si>
  <si>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</si>
  <si>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</si>
  <si>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</si>
  <si>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</si>
  <si>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</si>
  <si>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</si>
  <si>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</si>
  <si>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</si>
  <si>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</si>
  <si>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</si>
  <si>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</si>
  <si>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</si>
  <si>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</si>
  <si>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</si>
  <si>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</si>
  <si>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</si>
  <si>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</si>
  <si>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</si>
  <si>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</si>
  <si>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</si>
  <si>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</si>
  <si>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</si>
  <si>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</si>
  <si>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</si>
  <si>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</si>
  <si>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</si>
  <si>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</si>
  <si>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</si>
  <si>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</si>
  <si>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</si>
  <si>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</si>
  <si>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</si>
  <si>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</si>
  <si>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</si>
  <si>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</si>
  <si>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</si>
  <si>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</si>
  <si>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</si>
  <si>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</si>
  <si>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</si>
  <si>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</si>
  <si>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</si>
  <si>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</si>
  <si>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</si>
  <si>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</si>
  <si>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</si>
  <si>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</si>
  <si>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</si>
  <si>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</si>
  <si>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AO Smith HP1050H45DVCTA-1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</si>
</sst>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541020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1074420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175260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E3" zoomScaleNormal="100" workbookViewId="0">
      <selection activeCell="Q38" sqref="Q38:R38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120</v>
      </c>
      <c r="J6" s="164"/>
      <c r="K6" s="165"/>
      <c r="L6" s="107"/>
      <c r="M6" s="154" t="str">
        <f>I6</f>
        <v>Heat Pump Water Heater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AO Smith HP1050H45DVCTA-1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95</v>
      </c>
      <c r="J9" s="85" t="s">
        <v>60</v>
      </c>
      <c r="K9" s="1">
        <v>0.45</v>
      </c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96</v>
      </c>
      <c r="J10" s="85" t="s">
        <v>61</v>
      </c>
      <c r="K10" s="1">
        <v>4.5</v>
      </c>
      <c r="L10" s="107"/>
      <c r="M10" s="160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97</v>
      </c>
      <c r="J11" s="85" t="s">
        <v>62</v>
      </c>
      <c r="K11" s="1">
        <v>46</v>
      </c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98</v>
      </c>
      <c r="J12" s="85" t="s">
        <v>63</v>
      </c>
      <c r="K12" s="1">
        <v>150</v>
      </c>
      <c r="L12" s="107"/>
      <c r="M12" s="160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99</v>
      </c>
      <c r="J13" s="85" t="s">
        <v>64</v>
      </c>
      <c r="K13" s="1">
        <v>95</v>
      </c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100</v>
      </c>
      <c r="J14" s="85" t="s">
        <v>65</v>
      </c>
      <c r="K14" s="1">
        <v>3.45</v>
      </c>
      <c r="L14" s="107"/>
      <c r="M14" s="160" t="s">
        <v>3</v>
      </c>
      <c r="N14" s="85" t="s">
        <v>4</v>
      </c>
      <c r="O14" s="87" t="s">
        <v>38</v>
      </c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 t="s">
        <v>101</v>
      </c>
      <c r="J15" s="85" t="s">
        <v>66</v>
      </c>
      <c r="K15" s="1">
        <v>2</v>
      </c>
      <c r="L15" s="107"/>
      <c r="M15" s="160"/>
      <c r="N15" s="85" t="s">
        <v>5</v>
      </c>
      <c r="O15" s="87" t="s">
        <v>38</v>
      </c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 t="s">
        <v>103</v>
      </c>
      <c r="J16" s="85" t="s">
        <v>2</v>
      </c>
      <c r="K16" s="1">
        <v>30</v>
      </c>
      <c r="L16" s="107"/>
      <c r="M16" s="160"/>
      <c r="N16" s="85" t="s">
        <v>6</v>
      </c>
      <c r="O16" s="87" t="s">
        <v>38</v>
      </c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 t="s">
        <v>104</v>
      </c>
      <c r="J17" s="86" t="s">
        <v>43</v>
      </c>
      <c r="K17" s="2">
        <v>120</v>
      </c>
      <c r="L17" s="107"/>
      <c r="M17" s="160"/>
      <c r="N17" s="85" t="s">
        <v>7</v>
      </c>
      <c r="O17" s="87" t="s">
        <v>38</v>
      </c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 t="s">
        <v>38</v>
      </c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 t="s">
        <v>38</v>
      </c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 t="s">
        <v>38</v>
      </c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>
        <v>0.5</v>
      </c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>
        <v>0.5</v>
      </c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3</v>
      </c>
      <c r="O38" s="107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1</v>
      </c>
      <c r="O39" s="113"/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45.073118095486208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62.033118095486202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4.95</v>
      </c>
      <c r="F6" s="5"/>
      <c r="H6" s="5"/>
      <c r="I6" s="173" t="s">
        <v>0</v>
      </c>
      <c r="J6" s="11" t="s">
        <v>46</v>
      </c>
      <c r="K6" s="6">
        <f>Lookup!G13</f>
        <v>0.45</v>
      </c>
      <c r="L6" s="5"/>
      <c r="N6" s="5"/>
      <c r="O6" s="173" t="s">
        <v>0</v>
      </c>
      <c r="P6" s="11" t="s">
        <v>46</v>
      </c>
      <c r="Q6" s="6">
        <f>Lookup!G20</f>
        <v>0.45</v>
      </c>
      <c r="R6" s="5"/>
    </row>
    <row r="7" spans="2:18">
      <c r="B7" s="5"/>
      <c r="C7" s="174"/>
      <c r="D7" s="3" t="s">
        <v>45</v>
      </c>
      <c r="E7" s="7">
        <f>((Lookup!G6*8.34*(Lookup!G7-Lookup!G8))/3412)/Lookup!G9</f>
        <v>1.7924970691676436</v>
      </c>
      <c r="F7" s="5"/>
      <c r="H7" s="5"/>
      <c r="I7" s="174"/>
      <c r="J7" s="3" t="s">
        <v>45</v>
      </c>
      <c r="K7" s="7">
        <f>(Lookup!G14*8.34*(Lookup!G15-Lookup!G16))/3412</f>
        <v>-1.143939038686987</v>
      </c>
      <c r="L7" s="5"/>
      <c r="N7" s="5"/>
      <c r="O7" s="174"/>
      <c r="P7" s="3" t="s">
        <v>45</v>
      </c>
      <c r="Q7" s="7">
        <f>(Lookup!G24-Lookup!G25)*Lookup!G28</f>
        <v>10986</v>
      </c>
      <c r="R7" s="5"/>
    </row>
    <row r="8" spans="2:18" ht="15" thickBot="1">
      <c r="B8" s="5"/>
      <c r="C8" s="175"/>
      <c r="D8" s="12" t="s">
        <v>44</v>
      </c>
      <c r="E8" s="9">
        <f>('Input Calculations'!E7/'Input Calculations'!E6)*60</f>
        <v>21.727237202032043</v>
      </c>
      <c r="F8" s="5"/>
      <c r="H8" s="5"/>
      <c r="I8" s="175"/>
      <c r="J8" s="12" t="s">
        <v>44</v>
      </c>
      <c r="K8" s="9">
        <f>('Input Calculations'!K7/'Input Calculations'!K6)*60</f>
        <v>-152.52520515826492</v>
      </c>
      <c r="L8" s="5"/>
      <c r="N8" s="5"/>
      <c r="O8" s="175"/>
      <c r="P8" s="12" t="s">
        <v>44</v>
      </c>
      <c r="Q8" s="9">
        <f>(Q7/Q6)*60</f>
        <v>1464800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30</v>
      </c>
      <c r="F9" s="5"/>
      <c r="H9" s="5"/>
      <c r="I9" s="173" t="s">
        <v>1</v>
      </c>
      <c r="J9" s="13" t="s">
        <v>2</v>
      </c>
      <c r="K9" s="6">
        <f>Lookup!G18</f>
        <v>3.45</v>
      </c>
      <c r="L9" s="5"/>
      <c r="N9" s="5"/>
      <c r="O9" s="173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74"/>
      <c r="D10" s="3" t="s">
        <v>47</v>
      </c>
      <c r="E10" s="10">
        <f>E8*60</f>
        <v>1303.6342321219227</v>
      </c>
      <c r="F10" s="5"/>
      <c r="H10" s="5"/>
      <c r="I10" s="174"/>
      <c r="J10" s="3" t="s">
        <v>47</v>
      </c>
      <c r="K10" s="10">
        <f>K8*60</f>
        <v>-9151.5123094958963</v>
      </c>
      <c r="L10" s="5"/>
      <c r="N10" s="5"/>
      <c r="O10" s="174"/>
      <c r="P10" s="3" t="s">
        <v>47</v>
      </c>
      <c r="Q10" s="10">
        <f>MAX((Q7/Lookup!G21),(Q7/Lookup!G22))*3600</f>
        <v>8788800</v>
      </c>
      <c r="R10" s="5"/>
    </row>
    <row r="11" spans="2:18" ht="15" thickBot="1">
      <c r="B11" s="5"/>
      <c r="C11" s="175"/>
      <c r="D11" s="14" t="s">
        <v>43</v>
      </c>
      <c r="E11" s="8">
        <f>Lookup!G12</f>
        <v>120</v>
      </c>
      <c r="F11" s="5"/>
      <c r="H11" s="5"/>
      <c r="I11" s="175"/>
      <c r="J11" s="14" t="s">
        <v>43</v>
      </c>
      <c r="K11" s="8">
        <f>Lookup!G19</f>
        <v>2</v>
      </c>
      <c r="L11" s="5"/>
      <c r="N11" s="5"/>
      <c r="O11" s="175"/>
      <c r="P11" s="14" t="s">
        <v>43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0.45</v>
      </c>
      <c r="F18" s="5"/>
      <c r="H18" s="5"/>
      <c r="I18" s="173" t="s">
        <v>0</v>
      </c>
      <c r="J18" s="11" t="s">
        <v>46</v>
      </c>
      <c r="K18" s="6">
        <f>Lookup!G35</f>
        <v>0.45</v>
      </c>
      <c r="L18" s="5"/>
      <c r="N18" s="5"/>
      <c r="O18" s="173" t="s">
        <v>0</v>
      </c>
      <c r="P18" s="11" t="s">
        <v>46</v>
      </c>
      <c r="Q18" s="6">
        <f>Lookup!G41</f>
        <v>0.45</v>
      </c>
      <c r="R18" s="5"/>
    </row>
    <row r="19" spans="2:18">
      <c r="B19" s="5"/>
      <c r="C19" s="174"/>
      <c r="D19" s="3" t="s">
        <v>45</v>
      </c>
      <c r="E19" s="7">
        <f>Lookup!G30*(Lookup!G31)*Lookup!G32</f>
        <v>31050</v>
      </c>
      <c r="F19" s="5"/>
      <c r="H19" s="5"/>
      <c r="I19" s="174"/>
      <c r="J19" s="3" t="s">
        <v>45</v>
      </c>
      <c r="K19" s="7">
        <f>Lookup!G36</f>
        <v>4.5</v>
      </c>
      <c r="L19" s="5"/>
      <c r="N19" s="5"/>
      <c r="O19" s="174"/>
      <c r="P19" s="3" t="s">
        <v>45</v>
      </c>
      <c r="Q19" s="7">
        <f>Lookup!G42*Lookup!G43</f>
        <v>207</v>
      </c>
      <c r="R19" s="5"/>
    </row>
    <row r="20" spans="2:18" ht="15" thickBot="1">
      <c r="B20" s="5"/>
      <c r="C20" s="175"/>
      <c r="D20" s="12" t="s">
        <v>44</v>
      </c>
      <c r="E20" s="9">
        <f>(E19/E18)*60</f>
        <v>4140000</v>
      </c>
      <c r="F20" s="5"/>
      <c r="H20" s="5"/>
      <c r="I20" s="175"/>
      <c r="J20" s="12" t="s">
        <v>44</v>
      </c>
      <c r="K20" s="9">
        <f>(K19/K18)*60</f>
        <v>600</v>
      </c>
      <c r="L20" s="5"/>
      <c r="N20" s="5"/>
      <c r="O20" s="175"/>
      <c r="P20" s="12" t="s">
        <v>44</v>
      </c>
      <c r="Q20" s="9">
        <f>Q19/Q18</f>
        <v>460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95</v>
      </c>
      <c r="F21" s="5"/>
      <c r="H21" s="5"/>
      <c r="I21" s="173" t="s">
        <v>1</v>
      </c>
      <c r="J21" s="13" t="s">
        <v>2</v>
      </c>
      <c r="K21" s="6">
        <f>Lookup!G39</f>
        <v>95</v>
      </c>
      <c r="L21" s="5"/>
      <c r="N21" s="5"/>
      <c r="O21" s="173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74"/>
      <c r="D22" s="3" t="s">
        <v>47</v>
      </c>
      <c r="E22" s="10">
        <f>E20*60</f>
        <v>248400000</v>
      </c>
      <c r="F22" s="5"/>
      <c r="H22" s="5"/>
      <c r="I22" s="174"/>
      <c r="J22" s="3" t="s">
        <v>47</v>
      </c>
      <c r="K22" s="10">
        <f>K20*60</f>
        <v>36000</v>
      </c>
      <c r="L22" s="5"/>
      <c r="N22" s="5"/>
      <c r="O22" s="174"/>
      <c r="P22" s="3" t="s">
        <v>47</v>
      </c>
      <c r="Q22" s="10">
        <f>Q19/Lookup!G45</f>
        <v>2.1789473684210527</v>
      </c>
      <c r="R22" s="5"/>
    </row>
    <row r="23" spans="2:18" ht="15" thickBot="1">
      <c r="B23" s="5"/>
      <c r="C23" s="175"/>
      <c r="D23" s="14" t="s">
        <v>43</v>
      </c>
      <c r="E23" s="8">
        <f>Lookup!G34</f>
        <v>3.45</v>
      </c>
      <c r="F23" s="5"/>
      <c r="H23" s="5"/>
      <c r="I23" s="175"/>
      <c r="J23" s="14" t="s">
        <v>43</v>
      </c>
      <c r="K23" s="8">
        <f>Lookup!G40</f>
        <v>3.45</v>
      </c>
      <c r="L23" s="5"/>
      <c r="N23" s="5"/>
      <c r="O23" s="175"/>
      <c r="P23" s="14" t="s">
        <v>43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0.45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4.5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46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150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95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3.45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2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30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120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0.45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4.5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46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150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95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3.45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2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0.45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4.5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46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150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95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3.45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2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30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120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0.45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4.5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46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150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95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3.45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0.45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4.5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46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150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95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3.45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0.45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4.5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46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150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95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3.45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0.45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4.5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46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150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95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92" t="s">
        <v>174</v>
      </c>
      <c r="B1" s="193"/>
      <c r="C1" s="193"/>
      <c r="D1" s="193"/>
      <c r="E1" s="193"/>
      <c r="F1" s="193"/>
      <c r="G1" s="193"/>
      <c r="H1" s="193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94" t="s">
        <v>148</v>
      </c>
      <c r="C2" s="191"/>
      <c r="D2" s="177"/>
      <c r="F2" s="194" t="s">
        <v>148</v>
      </c>
      <c r="G2" s="191"/>
      <c r="H2" s="177"/>
      <c r="J2" s="195" t="s">
        <v>148</v>
      </c>
      <c r="K2" s="191"/>
      <c r="L2" s="177"/>
      <c r="N2" s="195" t="s">
        <v>148</v>
      </c>
      <c r="O2" s="191"/>
      <c r="P2" s="177"/>
      <c r="R2" s="196" t="s">
        <v>148</v>
      </c>
      <c r="S2" s="191"/>
      <c r="T2" s="177"/>
      <c r="V2" s="196" t="s">
        <v>148</v>
      </c>
      <c r="W2" s="191"/>
      <c r="X2" s="177"/>
      <c r="Y2" s="35"/>
      <c r="Z2" s="197" t="s">
        <v>148</v>
      </c>
      <c r="AA2" s="191"/>
      <c r="AB2" s="177"/>
      <c r="AD2" s="197" t="s">
        <v>148</v>
      </c>
      <c r="AE2" s="191"/>
      <c r="AF2" s="177"/>
      <c r="AG2" s="35"/>
      <c r="AH2" s="198" t="s">
        <v>148</v>
      </c>
      <c r="AI2" s="191"/>
      <c r="AJ2" s="177"/>
      <c r="AL2" s="198" t="s">
        <v>148</v>
      </c>
      <c r="AM2" s="191"/>
      <c r="AN2" s="177"/>
      <c r="AO2" s="35"/>
      <c r="AP2" s="199" t="s">
        <v>148</v>
      </c>
      <c r="AQ2" s="191"/>
      <c r="AR2" s="177"/>
      <c r="AT2" s="199" t="s">
        <v>148</v>
      </c>
      <c r="AU2" s="191"/>
      <c r="AV2" s="177"/>
      <c r="AX2" s="190" t="s">
        <v>148</v>
      </c>
      <c r="AY2" s="191"/>
      <c r="AZ2" s="177"/>
      <c r="BB2" s="190" t="s">
        <v>148</v>
      </c>
      <c r="BC2" s="191"/>
      <c r="BD2" s="177"/>
    </row>
    <row r="3" spans="1:56" ht="15" customHeight="1">
      <c r="B3" s="83" t="s">
        <v>168</v>
      </c>
      <c r="C3" s="187" t="s">
        <v>173</v>
      </c>
      <c r="D3" s="184"/>
      <c r="F3" s="83" t="s">
        <v>168</v>
      </c>
      <c r="G3" s="187" t="s">
        <v>173</v>
      </c>
      <c r="H3" s="184"/>
      <c r="J3" s="82" t="s">
        <v>168</v>
      </c>
      <c r="K3" s="187" t="s">
        <v>84</v>
      </c>
      <c r="L3" s="184"/>
      <c r="N3" s="82" t="s">
        <v>168</v>
      </c>
      <c r="O3" s="187" t="s">
        <v>84</v>
      </c>
      <c r="P3" s="184"/>
      <c r="R3" s="81" t="s">
        <v>168</v>
      </c>
      <c r="S3" s="189" t="s">
        <v>172</v>
      </c>
      <c r="T3" s="184"/>
      <c r="V3" s="81" t="s">
        <v>168</v>
      </c>
      <c r="W3" s="189" t="s">
        <v>172</v>
      </c>
      <c r="X3" s="184"/>
      <c r="Y3" s="78"/>
      <c r="Z3" s="80" t="s">
        <v>168</v>
      </c>
      <c r="AA3" s="189" t="s">
        <v>171</v>
      </c>
      <c r="AB3" s="184"/>
      <c r="AD3" s="80" t="s">
        <v>168</v>
      </c>
      <c r="AE3" s="189" t="s">
        <v>171</v>
      </c>
      <c r="AF3" s="184"/>
      <c r="AG3" s="78"/>
      <c r="AH3" s="79" t="s">
        <v>168</v>
      </c>
      <c r="AI3" s="189" t="s">
        <v>170</v>
      </c>
      <c r="AJ3" s="184"/>
      <c r="AL3" s="79" t="s">
        <v>168</v>
      </c>
      <c r="AM3" s="189" t="s">
        <v>170</v>
      </c>
      <c r="AN3" s="184"/>
      <c r="AO3" s="78"/>
      <c r="AP3" s="77" t="s">
        <v>168</v>
      </c>
      <c r="AQ3" s="189" t="s">
        <v>169</v>
      </c>
      <c r="AR3" s="184"/>
      <c r="AT3" s="77" t="s">
        <v>168</v>
      </c>
      <c r="AU3" s="189" t="s">
        <v>169</v>
      </c>
      <c r="AV3" s="184"/>
      <c r="AX3" s="76" t="s">
        <v>168</v>
      </c>
      <c r="AY3" s="189" t="s">
        <v>167</v>
      </c>
      <c r="AZ3" s="184"/>
      <c r="BB3" s="76" t="s">
        <v>168</v>
      </c>
      <c r="BC3" s="189" t="s">
        <v>167</v>
      </c>
      <c r="BD3" s="184"/>
    </row>
    <row r="4" spans="1:56" ht="15" customHeight="1">
      <c r="B4" s="75" t="s">
        <v>151</v>
      </c>
      <c r="C4" s="183">
        <f>[1]Calculator!N18</f>
        <v>0.75</v>
      </c>
      <c r="D4" s="184"/>
      <c r="F4" s="75" t="s">
        <v>151</v>
      </c>
      <c r="G4" s="183">
        <f>[1]Calculator!N18</f>
        <v>0.75</v>
      </c>
      <c r="H4" s="184"/>
      <c r="J4" s="74" t="s">
        <v>151</v>
      </c>
      <c r="K4" s="183">
        <f>[1]Calculator!N18</f>
        <v>0.75</v>
      </c>
      <c r="L4" s="184"/>
      <c r="N4" s="74" t="s">
        <v>151</v>
      </c>
      <c r="O4" s="186">
        <f>[1]Calculator!N18</f>
        <v>0.75</v>
      </c>
      <c r="P4" s="177"/>
      <c r="R4" s="73" t="s">
        <v>151</v>
      </c>
      <c r="S4" s="186">
        <f>[1]Calculator!N18</f>
        <v>0.75</v>
      </c>
      <c r="T4" s="177"/>
      <c r="V4" s="73" t="s">
        <v>151</v>
      </c>
      <c r="W4" s="186">
        <f>[1]Calculator!N18</f>
        <v>0.75</v>
      </c>
      <c r="X4" s="177"/>
      <c r="Y4" s="70"/>
      <c r="Z4" s="72" t="s">
        <v>151</v>
      </c>
      <c r="AA4" s="188">
        <f>[1]Calculator!N18</f>
        <v>0.75</v>
      </c>
      <c r="AB4" s="177"/>
      <c r="AD4" s="72" t="s">
        <v>151</v>
      </c>
      <c r="AE4" s="186">
        <f>[1]Calculator!N18</f>
        <v>0.75</v>
      </c>
      <c r="AF4" s="177"/>
      <c r="AG4" s="70"/>
      <c r="AH4" s="71" t="s">
        <v>151</v>
      </c>
      <c r="AI4" s="186">
        <f>[1]Calculator!N18</f>
        <v>0.75</v>
      </c>
      <c r="AJ4" s="177"/>
      <c r="AL4" s="71" t="s">
        <v>151</v>
      </c>
      <c r="AM4" s="186">
        <f>[1]Calculator!N18</f>
        <v>0.75</v>
      </c>
      <c r="AN4" s="177"/>
      <c r="AO4" s="70"/>
      <c r="AP4" s="69" t="s">
        <v>151</v>
      </c>
      <c r="AQ4" s="186">
        <f>[1]Calculator!N18</f>
        <v>0.75</v>
      </c>
      <c r="AR4" s="177"/>
      <c r="AT4" s="69" t="s">
        <v>151</v>
      </c>
      <c r="AU4" s="186">
        <f>[1]Calculator!N18</f>
        <v>0.75</v>
      </c>
      <c r="AV4" s="177"/>
      <c r="AX4" s="68" t="s">
        <v>151</v>
      </c>
      <c r="AY4" s="186">
        <f>[1]Calculator!N18</f>
        <v>0.75</v>
      </c>
      <c r="AZ4" s="177"/>
      <c r="BB4" s="68" t="s">
        <v>151</v>
      </c>
      <c r="BC4" s="186">
        <f>[1]Calculator!N18</f>
        <v>0.75</v>
      </c>
      <c r="BD4" s="177"/>
    </row>
    <row r="5" spans="1:56" ht="15" customHeight="1">
      <c r="B5" s="75" t="s">
        <v>152</v>
      </c>
      <c r="C5" s="183">
        <f>[1]Calculator!N19</f>
        <v>0.875</v>
      </c>
      <c r="D5" s="184"/>
      <c r="F5" s="75" t="s">
        <v>152</v>
      </c>
      <c r="G5" s="183">
        <f>[1]Calculator!N19</f>
        <v>0.875</v>
      </c>
      <c r="H5" s="184"/>
      <c r="J5" s="74" t="s">
        <v>152</v>
      </c>
      <c r="K5" s="183">
        <f>[1]Calculator!N19</f>
        <v>0.875</v>
      </c>
      <c r="L5" s="184"/>
      <c r="N5" s="74" t="s">
        <v>152</v>
      </c>
      <c r="O5" s="186">
        <f>[1]Calculator!N19</f>
        <v>0.875</v>
      </c>
      <c r="P5" s="177"/>
      <c r="R5" s="73" t="s">
        <v>152</v>
      </c>
      <c r="S5" s="186">
        <f>[1]Calculator!N19</f>
        <v>0.875</v>
      </c>
      <c r="T5" s="177"/>
      <c r="V5" s="73" t="s">
        <v>152</v>
      </c>
      <c r="W5" s="186">
        <f>[1]Calculator!N19</f>
        <v>0.875</v>
      </c>
      <c r="X5" s="177"/>
      <c r="Y5" s="70"/>
      <c r="Z5" s="72" t="s">
        <v>152</v>
      </c>
      <c r="AA5" s="186">
        <f>[1]Calculator!N19</f>
        <v>0.875</v>
      </c>
      <c r="AB5" s="177"/>
      <c r="AD5" s="72" t="s">
        <v>152</v>
      </c>
      <c r="AE5" s="186">
        <f>[1]Calculator!N19</f>
        <v>0.875</v>
      </c>
      <c r="AF5" s="177"/>
      <c r="AG5" s="70"/>
      <c r="AH5" s="71" t="s">
        <v>152</v>
      </c>
      <c r="AI5" s="186">
        <f>[1]Calculator!N19</f>
        <v>0.875</v>
      </c>
      <c r="AJ5" s="177"/>
      <c r="AL5" s="71" t="s">
        <v>152</v>
      </c>
      <c r="AM5" s="186">
        <f>[1]Calculator!N19</f>
        <v>0.875</v>
      </c>
      <c r="AN5" s="177"/>
      <c r="AO5" s="70"/>
      <c r="AP5" s="69" t="s">
        <v>152</v>
      </c>
      <c r="AQ5" s="186">
        <f>[1]Calculator!N19</f>
        <v>0.875</v>
      </c>
      <c r="AR5" s="177"/>
      <c r="AT5" s="69" t="s">
        <v>152</v>
      </c>
      <c r="AU5" s="186">
        <f>[1]Calculator!N19</f>
        <v>0.875</v>
      </c>
      <c r="AV5" s="177"/>
      <c r="AX5" s="68" t="s">
        <v>152</v>
      </c>
      <c r="AY5" s="186">
        <f>[1]Calculator!N19</f>
        <v>0.875</v>
      </c>
      <c r="AZ5" s="177"/>
      <c r="BB5" s="68" t="s">
        <v>152</v>
      </c>
      <c r="BC5" s="186">
        <f>[1]Calculator!N19</f>
        <v>0.875</v>
      </c>
      <c r="BD5" s="177"/>
    </row>
    <row r="6" spans="1:56" ht="20.25" customHeight="1">
      <c r="A6" s="59"/>
      <c r="B6" s="67" t="s">
        <v>166</v>
      </c>
      <c r="C6" s="185">
        <f t="array" ref="C6">AVERAGE(INDEX(D13:D108, MATCH(C4, C13:C108, 0)):INDEX(D13:D108, MATCH(C5, C13:C108, 0)))</f>
        <v>9.962226336615386E-2</v>
      </c>
      <c r="D6" s="177"/>
      <c r="E6" s="59"/>
      <c r="F6" s="67" t="s">
        <v>166</v>
      </c>
      <c r="G6" s="185">
        <f t="array" ref="G6">AVERAGE(INDEX(H13:H108, MATCH(G4, G13:G108, 0)):INDEX(H13:H108, MATCH(G5, G13:G108, 0)))</f>
        <v>7.2208377413076924E-2</v>
      </c>
      <c r="H6" s="177"/>
      <c r="I6" s="59"/>
      <c r="J6" s="66" t="s">
        <v>166</v>
      </c>
      <c r="K6" s="185">
        <f t="array" ref="K6">AVERAGE(INDEX(L13:L108, MATCH(K4, K13:K108, 0)):INDEX(L13:L108, MATCH(K5, K13:K108, 0)))</f>
        <v>4.1980958414615389E-2</v>
      </c>
      <c r="L6" s="177"/>
      <c r="M6" s="59"/>
      <c r="N6" s="66" t="s">
        <v>166</v>
      </c>
      <c r="O6" s="185">
        <f t="array" ref="O6">AVERAGE(INDEX(P13:P108, MATCH(O4, O13:O108, 0)):INDEX(P13:P108, MATCH(O5, O13:O108, 0)))</f>
        <v>3.4383318097692309E-2</v>
      </c>
      <c r="P6" s="177"/>
      <c r="Q6" s="59"/>
      <c r="R6" s="65" t="s">
        <v>166</v>
      </c>
      <c r="S6" s="185">
        <f t="array" ref="S6">AVERAGE(INDEX(T13:T108, MATCH(S4, S13:S108, 0)):INDEX(T13:T108, MATCH(S5, S13:S108, 0)))</f>
        <v>6.7804735769230767E-2</v>
      </c>
      <c r="T6" s="177"/>
      <c r="U6" s="59"/>
      <c r="V6" s="64" t="s">
        <v>166</v>
      </c>
      <c r="W6" s="185">
        <f t="array" ref="W6">AVERAGE(INDEX(X13:X108, MATCH(W4, W13:W108, 0)):INDEX(X13:X108, MATCH(W5, W13:W108, 0)))</f>
        <v>3.1979827461538456E-2</v>
      </c>
      <c r="X6" s="177"/>
      <c r="Y6" s="61"/>
      <c r="Z6" s="63" t="s">
        <v>166</v>
      </c>
      <c r="AA6" s="185">
        <f t="array" ref="AA6">AVERAGE(INDEX(AB13:AB108, MATCH(AA4, AA13:AA108, 0)):INDEX(AB13:AB108, MATCH(AA5, AA13:AA108, 0)))</f>
        <v>0.45153846153846161</v>
      </c>
      <c r="AB6" s="177"/>
      <c r="AC6" s="59"/>
      <c r="AD6" s="63" t="s">
        <v>166</v>
      </c>
      <c r="AE6" s="185">
        <f t="array" ref="AE6">AVERAGE(INDEX(AF13:AF108, MATCH(AE4, AE13:AE108, 0)):INDEX(AF13:AF108, MATCH(AE5, AE13:AE108, 0)))</f>
        <v>0.63065689230769217</v>
      </c>
      <c r="AF6" s="177"/>
      <c r="AG6" s="61"/>
      <c r="AH6" s="62" t="s">
        <v>166</v>
      </c>
      <c r="AI6" s="185">
        <f t="array" ref="AI6">AVERAGE(INDEX(AJ13:AJ108, MATCH(AI4, AI13:AI108, 0)):INDEX(AJ13:AJ108, MATCH(AI5, AI13:AI108, 0)))</f>
        <v>0.13076923076923078</v>
      </c>
      <c r="AJ6" s="177"/>
      <c r="AK6" s="59"/>
      <c r="AL6" s="62" t="s">
        <v>166</v>
      </c>
      <c r="AM6" s="185">
        <f t="array" ref="AM6">AVERAGE(INDEX(AN13:AN108, MATCH(AM4, AM13:AM108, 0)):INDEX(AN13:AN108, MATCH(AM5, AM13:AM108, 0)))</f>
        <v>6.1653339307692311E-2</v>
      </c>
      <c r="AN6" s="177"/>
      <c r="AO6" s="61"/>
      <c r="AP6" s="60" t="s">
        <v>166</v>
      </c>
      <c r="AQ6" s="185">
        <f t="array" ref="AQ6">AVERAGE(INDEX(AR13:AR108, MATCH(AQ4, AQ13:AQ108, 0)):INDEX(AR13:AR108, MATCH(AQ5, AQ13:AQ108, 0)))</f>
        <v>1.5656532692307691E-2</v>
      </c>
      <c r="AR6" s="177"/>
      <c r="AS6" s="59"/>
      <c r="AT6" s="60" t="s">
        <v>166</v>
      </c>
      <c r="AU6" s="185">
        <f t="array" ref="AU6">AVERAGE(INDEX(AV13:AV108, MATCH(AU4, AU13:AU108, 0)):INDEX(AV13:AV108, MATCH(AU5, AU13:AU108, 0)))</f>
        <v>1.2279359384615385E-2</v>
      </c>
      <c r="AV6" s="177"/>
      <c r="AW6" s="59"/>
      <c r="AX6" s="58" t="s">
        <v>166</v>
      </c>
      <c r="AY6" s="185">
        <f t="array" ref="AY6">AVERAGE(INDEX(AZ13:AZ108, MATCH(AY4, AY13:AY108, 0)):INDEX(AZ13:AZ108, MATCH(AY5, AY13:AY108, 0)))</f>
        <v>0.15609283784615388</v>
      </c>
      <c r="AZ6" s="177"/>
      <c r="BA6" s="59"/>
      <c r="BB6" s="58" t="s">
        <v>166</v>
      </c>
      <c r="BC6" s="185">
        <f t="array" ref="BC6">AVERAGE(INDEX(BD13:BD108, MATCH(BC4, BC13:BC108, 0)):INDEX(BD13:BD108, MATCH(BC5, BC13:BC108, 0)))</f>
        <v>0.13740088284615384</v>
      </c>
      <c r="BD6" s="177"/>
    </row>
    <row r="7" spans="1:56" ht="18">
      <c r="B7" s="57" t="s">
        <v>165</v>
      </c>
      <c r="C7" s="176">
        <f>ROUND((C5 - C4)*24, 2)</f>
        <v>3</v>
      </c>
      <c r="D7" s="177"/>
      <c r="E7" s="32"/>
      <c r="F7" s="57" t="s">
        <v>165</v>
      </c>
      <c r="G7" s="176">
        <f>ROUND((G5 - G4)*24, 2)</f>
        <v>3</v>
      </c>
      <c r="H7" s="177"/>
      <c r="J7" s="56" t="s">
        <v>165</v>
      </c>
      <c r="K7" s="176">
        <f>ROUND((K5 - K4)*24, 2)</f>
        <v>3</v>
      </c>
      <c r="L7" s="177"/>
      <c r="N7" s="56" t="s">
        <v>165</v>
      </c>
      <c r="O7" s="176">
        <f>ROUND((O5 - O4)*24, 2)</f>
        <v>3</v>
      </c>
      <c r="P7" s="177"/>
      <c r="R7" s="55" t="s">
        <v>165</v>
      </c>
      <c r="S7" s="176">
        <f>ROUND((S5 - S4)*24, 2)</f>
        <v>3</v>
      </c>
      <c r="T7" s="177"/>
      <c r="V7" s="55" t="s">
        <v>165</v>
      </c>
      <c r="W7" s="176">
        <f>ROUND((W5 - W4)*24, 2)</f>
        <v>3</v>
      </c>
      <c r="X7" s="177"/>
      <c r="Y7" s="52"/>
      <c r="Z7" s="54" t="s">
        <v>165</v>
      </c>
      <c r="AA7" s="176">
        <f>ROUND((AA5 - AA4)*24, 2)</f>
        <v>3</v>
      </c>
      <c r="AB7" s="177"/>
      <c r="AD7" s="54" t="s">
        <v>165</v>
      </c>
      <c r="AE7" s="176">
        <f>ROUND((AE5 - AE4)*24, 2)</f>
        <v>3</v>
      </c>
      <c r="AF7" s="177"/>
      <c r="AG7" s="52"/>
      <c r="AH7" s="53" t="s">
        <v>165</v>
      </c>
      <c r="AI7" s="176">
        <f>ROUND((AI5 - AI4)*24, 2)</f>
        <v>3</v>
      </c>
      <c r="AJ7" s="177"/>
      <c r="AL7" s="53" t="s">
        <v>165</v>
      </c>
      <c r="AM7" s="176">
        <f>ROUND((AM5 - AM4)*24, 2)</f>
        <v>3</v>
      </c>
      <c r="AN7" s="177"/>
      <c r="AO7" s="52"/>
      <c r="AP7" s="51" t="s">
        <v>165</v>
      </c>
      <c r="AQ7" s="176">
        <f>ROUND((AQ5 - AQ4)*24, 2)</f>
        <v>3</v>
      </c>
      <c r="AR7" s="177"/>
      <c r="AT7" s="51" t="s">
        <v>165</v>
      </c>
      <c r="AU7" s="176">
        <f>ROUND((AU5 - AU4)*24, 2)</f>
        <v>3</v>
      </c>
      <c r="AV7" s="177"/>
      <c r="AX7" s="50" t="s">
        <v>165</v>
      </c>
      <c r="AY7" s="176">
        <f>ROUND((AY5 - AY4)*24, 2)</f>
        <v>3</v>
      </c>
      <c r="AZ7" s="177"/>
      <c r="BB7" s="50" t="s">
        <v>165</v>
      </c>
      <c r="BC7" s="176">
        <f>ROUND((BC5 - BC4)*24, 2)</f>
        <v>3</v>
      </c>
      <c r="BD7" s="177"/>
    </row>
    <row r="8" spans="1:56" ht="18">
      <c r="B8" s="57" t="s">
        <v>164</v>
      </c>
      <c r="C8" s="178">
        <f>MAX(D13:D108)</f>
        <v>0.14348599500000001</v>
      </c>
      <c r="D8" s="177"/>
      <c r="E8" s="32"/>
      <c r="F8" s="57" t="s">
        <v>164</v>
      </c>
      <c r="G8" s="178">
        <f>MAX(H13:H108)</f>
        <v>0.1036868646</v>
      </c>
      <c r="H8" s="177"/>
      <c r="J8" s="56" t="s">
        <v>164</v>
      </c>
      <c r="K8" s="178">
        <f>MAX(L13:L108)</f>
        <v>6.2109357130000001E-2</v>
      </c>
      <c r="L8" s="177"/>
      <c r="N8" s="56" t="s">
        <v>164</v>
      </c>
      <c r="O8" s="178">
        <f>MAX(P13:P108)</f>
        <v>4.726112054E-2</v>
      </c>
      <c r="P8" s="177"/>
      <c r="R8" s="55" t="s">
        <v>164</v>
      </c>
      <c r="S8" s="178">
        <f>MAX(T13:T108)</f>
        <v>7.9190942E-2</v>
      </c>
      <c r="T8" s="177"/>
      <c r="V8" s="55" t="s">
        <v>164</v>
      </c>
      <c r="W8" s="178">
        <f>MAX(X13:X108)</f>
        <v>3.8002719999999997E-2</v>
      </c>
      <c r="X8" s="177"/>
      <c r="Y8" s="52"/>
      <c r="Z8" s="54" t="s">
        <v>164</v>
      </c>
      <c r="AA8" s="178">
        <f>MAX(AB13:AB108)</f>
        <v>0.51</v>
      </c>
      <c r="AB8" s="177"/>
      <c r="AD8" s="54" t="s">
        <v>164</v>
      </c>
      <c r="AE8" s="178">
        <f>MAX(AF13:AF108)</f>
        <v>0.69204600000000005</v>
      </c>
      <c r="AF8" s="177"/>
      <c r="AG8" s="52"/>
      <c r="AH8" s="53" t="s">
        <v>164</v>
      </c>
      <c r="AI8" s="178">
        <f>MAX(AJ13:AJ108)</f>
        <v>0.14000000000000001</v>
      </c>
      <c r="AJ8" s="177"/>
      <c r="AL8" s="53" t="s">
        <v>164</v>
      </c>
      <c r="AM8" s="178">
        <f>MAX(AN13:AN108)</f>
        <v>6.6710967999999995E-2</v>
      </c>
      <c r="AN8" s="177"/>
      <c r="AO8" s="52"/>
      <c r="AP8" s="51" t="s">
        <v>164</v>
      </c>
      <c r="AQ8" s="178">
        <f>MAX(AR13:AR108)</f>
        <v>3.2290909E-2</v>
      </c>
      <c r="AR8" s="177"/>
      <c r="AT8" s="51" t="s">
        <v>164</v>
      </c>
      <c r="AU8" s="178">
        <f>MAX(AV13:AV108)</f>
        <v>2.1770478999999999E-2</v>
      </c>
      <c r="AV8" s="177"/>
      <c r="AX8" s="50" t="s">
        <v>164</v>
      </c>
      <c r="AY8" s="178">
        <f>MAX(AZ13:AZ108)</f>
        <v>0.271389098</v>
      </c>
      <c r="AZ8" s="177"/>
      <c r="BB8" s="50" t="s">
        <v>164</v>
      </c>
      <c r="BC8" s="178">
        <f>MAX(BD13:BD108)</f>
        <v>0.24407621500000001</v>
      </c>
      <c r="BD8" s="177"/>
    </row>
    <row r="9" spans="1:56" ht="18">
      <c r="B9" s="57" t="s">
        <v>163</v>
      </c>
      <c r="C9" s="178">
        <f>MIN(D13:D108)</f>
        <v>2.0502033480000001E-2</v>
      </c>
      <c r="D9" s="177"/>
      <c r="E9" s="32"/>
      <c r="F9" s="57" t="s">
        <v>163</v>
      </c>
      <c r="G9" s="178">
        <f>MIN(H13:H108)</f>
        <v>9.8425594049999995E-3</v>
      </c>
      <c r="H9" s="177"/>
      <c r="J9" s="56" t="s">
        <v>163</v>
      </c>
      <c r="K9" s="178">
        <f>MIN(L13:L108)</f>
        <v>7.73278426E-4</v>
      </c>
      <c r="L9" s="177"/>
      <c r="N9" s="56" t="s">
        <v>163</v>
      </c>
      <c r="O9" s="178">
        <f>MIN(P13:P108)</f>
        <v>4.1199773630000002E-4</v>
      </c>
      <c r="P9" s="177"/>
      <c r="R9" s="55" t="s">
        <v>163</v>
      </c>
      <c r="S9" s="178">
        <f>MIN(T13:T108)</f>
        <v>1.0557311E-2</v>
      </c>
      <c r="T9" s="177"/>
      <c r="V9" s="55" t="s">
        <v>163</v>
      </c>
      <c r="W9" s="178">
        <f>MIN(X13:X108)</f>
        <v>5.3527080000000003E-3</v>
      </c>
      <c r="X9" s="177"/>
      <c r="Y9" s="52"/>
      <c r="Z9" s="54" t="s">
        <v>163</v>
      </c>
      <c r="AA9" s="178">
        <f>MIN(AB13:AB108)</f>
        <v>0.04</v>
      </c>
      <c r="AB9" s="177"/>
      <c r="AD9" s="54" t="s">
        <v>163</v>
      </c>
      <c r="AE9" s="178">
        <f>MIN(AF13:AF108)</f>
        <v>5.1817200000000001E-2</v>
      </c>
      <c r="AF9" s="177"/>
      <c r="AG9" s="52"/>
      <c r="AH9" s="53" t="s">
        <v>163</v>
      </c>
      <c r="AI9" s="178">
        <f>MIN(AJ13:AJ108)</f>
        <v>0</v>
      </c>
      <c r="AJ9" s="177"/>
      <c r="AL9" s="53" t="s">
        <v>163</v>
      </c>
      <c r="AM9" s="178">
        <f>MIN(AN13:AN108)</f>
        <v>6.0494699999999999E-4</v>
      </c>
      <c r="AN9" s="177"/>
      <c r="AO9" s="52"/>
      <c r="AP9" s="51" t="s">
        <v>163</v>
      </c>
      <c r="AQ9" s="178">
        <f>MIN(AR13:AR108)</f>
        <v>4.4183800000000001E-4</v>
      </c>
      <c r="AR9" s="177"/>
      <c r="AT9" s="51" t="s">
        <v>163</v>
      </c>
      <c r="AU9" s="178">
        <f>MIN(AV13:AV108)</f>
        <v>2.3460399999999999E-4</v>
      </c>
      <c r="AV9" s="177"/>
      <c r="AX9" s="50" t="s">
        <v>163</v>
      </c>
      <c r="AY9" s="178">
        <f>MIN(AZ13:AZ108)</f>
        <v>3.6566269999999998E-2</v>
      </c>
      <c r="AZ9" s="177"/>
      <c r="BB9" s="50" t="s">
        <v>163</v>
      </c>
      <c r="BC9" s="178">
        <f>MIN(BD13:BD108)</f>
        <v>3.5173092000000003E-2</v>
      </c>
      <c r="BD9" s="177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80" t="s">
        <v>158</v>
      </c>
      <c r="D11" s="177"/>
      <c r="E11" s="32"/>
      <c r="G11" s="181" t="s">
        <v>159</v>
      </c>
      <c r="H11" s="177"/>
      <c r="K11" s="182" t="s">
        <v>158</v>
      </c>
      <c r="L11" s="177"/>
      <c r="O11" s="179" t="s">
        <v>159</v>
      </c>
      <c r="P11" s="177"/>
      <c r="S11" s="182" t="s">
        <v>158</v>
      </c>
      <c r="T11" s="177"/>
      <c r="W11" s="179" t="s">
        <v>159</v>
      </c>
      <c r="X11" s="177"/>
      <c r="Y11" s="35"/>
      <c r="AA11" s="182" t="s">
        <v>158</v>
      </c>
      <c r="AB11" s="177"/>
      <c r="AE11" s="179" t="s">
        <v>159</v>
      </c>
      <c r="AF11" s="177"/>
      <c r="AG11" s="35"/>
      <c r="AI11" s="182" t="s">
        <v>158</v>
      </c>
      <c r="AJ11" s="177"/>
      <c r="AM11" s="179" t="s">
        <v>159</v>
      </c>
      <c r="AN11" s="177"/>
      <c r="AO11" s="35"/>
      <c r="AQ11" s="182" t="s">
        <v>158</v>
      </c>
      <c r="AR11" s="177"/>
      <c r="AU11" s="179" t="s">
        <v>159</v>
      </c>
      <c r="AV11" s="177"/>
      <c r="AY11" s="182" t="s">
        <v>158</v>
      </c>
      <c r="AZ11" s="177"/>
      <c r="BC11" s="179" t="s">
        <v>159</v>
      </c>
      <c r="BD11" s="177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0.47142857142857142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0.47142857142857142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2.5607100988109196E-2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2.5607100988109196E-2</v>
      </c>
      <c r="K8" s="108"/>
    </row>
    <row r="9" spans="2:11">
      <c r="B9" s="109"/>
      <c r="C9" s="211"/>
      <c r="D9" s="85" t="s">
        <v>44</v>
      </c>
      <c r="E9" s="1">
        <f>(Calculator!O10-'(Non)Ideal Flex Load'!J9)/('(Non)Ideal Flex Load'!E9-'(Non)Ideal Flex Load'!J9)</f>
        <v>1.5088359168077808E-2</v>
      </c>
      <c r="F9" s="107"/>
      <c r="G9" s="107"/>
      <c r="H9" s="215"/>
      <c r="I9" s="85" t="s">
        <v>44</v>
      </c>
      <c r="J9" s="1">
        <f>(Calculator!O10-'(Non)Ideal Flex Load'!J27)/('(Non)Ideal Flex Load'!E27-'(Non)Ideal Flex Load'!J27)</f>
        <v>1.5088359168077808E-2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8"/>
    </row>
    <row r="11" spans="2:11">
      <c r="B11" s="109"/>
      <c r="C11" s="210"/>
      <c r="D11" s="85" t="s">
        <v>47</v>
      </c>
      <c r="E11" s="1">
        <f>(Calculator!O12-'(Non)Ideal Flex Load'!J11)/('(Non)Ideal Flex Load'!E11-'(Non)Ideal Flex Load'!J11)</f>
        <v>0.81893968998306632</v>
      </c>
      <c r="F11" s="107"/>
      <c r="G11" s="107"/>
      <c r="H11" s="214"/>
      <c r="I11" s="85" t="s">
        <v>47</v>
      </c>
      <c r="J11" s="1">
        <f>(Calculator!O12-'(Non)Ideal Flex Load'!J29)/('(Non)Ideal Flex Load'!E29-'(Non)Ideal Flex Load'!J29)</f>
        <v>0.81893968998306632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0.92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1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1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1</v>
      </c>
      <c r="F14" s="107"/>
      <c r="G14" s="107"/>
      <c r="H14" s="214"/>
      <c r="I14" s="85" t="s">
        <v>5</v>
      </c>
      <c r="J14" s="1">
        <f>IF(Calculator!App='(Non)Ideal Flex Load'!E32, 1, 0)</f>
        <v>1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1</v>
      </c>
      <c r="F15" s="107"/>
      <c r="G15" s="107"/>
      <c r="H15" s="214"/>
      <c r="I15" s="85" t="s">
        <v>6</v>
      </c>
      <c r="J15" s="1">
        <f>IF(Calculator!Wireless='(Non)Ideal Flex Load'!E33, 1, 0)</f>
        <v>1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1</v>
      </c>
      <c r="F16" s="107"/>
      <c r="G16" s="107"/>
      <c r="H16" s="215"/>
      <c r="I16" s="85" t="s">
        <v>7</v>
      </c>
      <c r="J16" s="1">
        <f>IF(Calculator!ToU='(Non)Ideal Flex Load'!E34, 1, 0)</f>
        <v>1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1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1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1</v>
      </c>
      <c r="F18" s="107"/>
      <c r="G18" s="107"/>
      <c r="H18" s="214"/>
      <c r="I18" s="85" t="s">
        <v>10</v>
      </c>
      <c r="J18" s="1">
        <f>IF(Calculator!UCM='(Non)Ideal Flex Load'!E36, 1, 0)</f>
        <v>1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1</v>
      </c>
      <c r="F19" s="107"/>
      <c r="G19" s="107"/>
      <c r="H19" s="214"/>
      <c r="I19" s="85" t="s">
        <v>11</v>
      </c>
      <c r="J19" s="1">
        <f>IF(Calculator!Compliant='(Non)Ideal Flex Load'!E37, 1, 0)</f>
        <v>1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0.5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0.5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0.5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0.5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3"/>
      <c r="E6" s="149"/>
      <c r="F6" s="107"/>
      <c r="G6" s="107"/>
      <c r="H6" s="148" t="s">
        <v>51</v>
      </c>
      <c r="I6" s="223"/>
      <c r="J6" s="149"/>
      <c r="K6" s="108"/>
    </row>
    <row r="7" spans="2:11">
      <c r="B7" s="109"/>
      <c r="C7" s="221" t="s">
        <v>0</v>
      </c>
      <c r="D7" s="85" t="s">
        <v>46</v>
      </c>
      <c r="E7" s="1">
        <v>10.5</v>
      </c>
      <c r="F7" s="107"/>
      <c r="G7" s="107"/>
      <c r="H7" s="221" t="s">
        <v>0</v>
      </c>
      <c r="I7" s="85" t="s">
        <v>46</v>
      </c>
      <c r="J7" s="1">
        <v>0</v>
      </c>
      <c r="K7" s="108"/>
    </row>
    <row r="8" spans="2:11">
      <c r="B8" s="109"/>
      <c r="C8" s="221"/>
      <c r="D8" s="85" t="s">
        <v>45</v>
      </c>
      <c r="E8" s="1">
        <v>70</v>
      </c>
      <c r="F8" s="107"/>
      <c r="G8" s="107"/>
      <c r="H8" s="221"/>
      <c r="I8" s="85" t="s">
        <v>45</v>
      </c>
      <c r="J8" s="1">
        <v>0</v>
      </c>
      <c r="K8" s="108"/>
    </row>
    <row r="9" spans="2:11" ht="15" customHeight="1">
      <c r="B9" s="109"/>
      <c r="C9" s="221"/>
      <c r="D9" s="85" t="s">
        <v>44</v>
      </c>
      <c r="E9" s="1">
        <v>1440</v>
      </c>
      <c r="F9" s="107"/>
      <c r="G9" s="107"/>
      <c r="H9" s="221"/>
      <c r="I9" s="85" t="s">
        <v>44</v>
      </c>
      <c r="J9" s="1">
        <v>0</v>
      </c>
      <c r="K9" s="108"/>
    </row>
    <row r="10" spans="2:11">
      <c r="B10" s="109"/>
      <c r="C10" s="221" t="s">
        <v>1</v>
      </c>
      <c r="D10" s="85" t="s">
        <v>2</v>
      </c>
      <c r="E10" s="1">
        <v>0</v>
      </c>
      <c r="F10" s="107"/>
      <c r="G10" s="107"/>
      <c r="H10" s="221" t="s">
        <v>1</v>
      </c>
      <c r="I10" s="85" t="s">
        <v>2</v>
      </c>
      <c r="J10" s="1">
        <v>30</v>
      </c>
      <c r="K10" s="108"/>
    </row>
    <row r="11" spans="2:11">
      <c r="B11" s="109"/>
      <c r="C11" s="221"/>
      <c r="D11" s="85" t="s">
        <v>47</v>
      </c>
      <c r="E11" s="1">
        <v>0</v>
      </c>
      <c r="F11" s="107"/>
      <c r="G11" s="107"/>
      <c r="H11" s="221"/>
      <c r="I11" s="85" t="s">
        <v>47</v>
      </c>
      <c r="J11" s="1">
        <f>2*60*60</f>
        <v>7200</v>
      </c>
      <c r="K11" s="108"/>
    </row>
    <row r="12" spans="2:11">
      <c r="B12" s="109"/>
      <c r="C12" s="221"/>
      <c r="D12" s="85" t="s">
        <v>43</v>
      </c>
      <c r="E12" s="1">
        <v>0</v>
      </c>
      <c r="F12" s="107"/>
      <c r="G12" s="107"/>
      <c r="H12" s="221"/>
      <c r="I12" s="85" t="s">
        <v>43</v>
      </c>
      <c r="J12" s="1">
        <f>1500</f>
        <v>1500</v>
      </c>
      <c r="K12" s="108"/>
    </row>
    <row r="13" spans="2:11">
      <c r="B13" s="109"/>
      <c r="C13" s="221" t="s">
        <v>3</v>
      </c>
      <c r="D13" s="85" t="s">
        <v>4</v>
      </c>
      <c r="E13" s="1" t="s">
        <v>38</v>
      </c>
      <c r="F13" s="107"/>
      <c r="G13" s="107"/>
      <c r="H13" s="221" t="s">
        <v>3</v>
      </c>
      <c r="I13" s="85" t="s">
        <v>4</v>
      </c>
      <c r="J13" s="1" t="s">
        <v>179</v>
      </c>
      <c r="K13" s="108"/>
    </row>
    <row r="14" spans="2:11">
      <c r="B14" s="109"/>
      <c r="C14" s="221"/>
      <c r="D14" s="85" t="s">
        <v>5</v>
      </c>
      <c r="E14" s="1" t="s">
        <v>38</v>
      </c>
      <c r="F14" s="107"/>
      <c r="G14" s="107"/>
      <c r="H14" s="221"/>
      <c r="I14" s="85" t="s">
        <v>5</v>
      </c>
      <c r="J14" s="1" t="s">
        <v>179</v>
      </c>
      <c r="K14" s="108"/>
    </row>
    <row r="15" spans="2:11">
      <c r="B15" s="109"/>
      <c r="C15" s="221"/>
      <c r="D15" s="85" t="s">
        <v>6</v>
      </c>
      <c r="E15" s="1" t="s">
        <v>38</v>
      </c>
      <c r="F15" s="107"/>
      <c r="G15" s="107"/>
      <c r="H15" s="221"/>
      <c r="I15" s="85" t="s">
        <v>6</v>
      </c>
      <c r="J15" s="1" t="s">
        <v>179</v>
      </c>
      <c r="K15" s="108"/>
    </row>
    <row r="16" spans="2:11">
      <c r="B16" s="109"/>
      <c r="C16" s="221"/>
      <c r="D16" s="85" t="s">
        <v>7</v>
      </c>
      <c r="E16" s="1" t="s">
        <v>38</v>
      </c>
      <c r="F16" s="107"/>
      <c r="G16" s="107"/>
      <c r="H16" s="221"/>
      <c r="I16" s="85" t="s">
        <v>7</v>
      </c>
      <c r="J16" s="1" t="s">
        <v>179</v>
      </c>
      <c r="K16" s="108"/>
    </row>
    <row r="17" spans="2:13">
      <c r="B17" s="109"/>
      <c r="C17" s="221" t="s">
        <v>8</v>
      </c>
      <c r="D17" s="85" t="s">
        <v>9</v>
      </c>
      <c r="E17" s="1" t="s">
        <v>38</v>
      </c>
      <c r="F17" s="107"/>
      <c r="G17" s="107"/>
      <c r="H17" s="221" t="s">
        <v>8</v>
      </c>
      <c r="I17" s="85" t="s">
        <v>9</v>
      </c>
      <c r="J17" s="1" t="s">
        <v>179</v>
      </c>
      <c r="K17" s="108"/>
    </row>
    <row r="18" spans="2:13">
      <c r="B18" s="109"/>
      <c r="C18" s="221"/>
      <c r="D18" s="85" t="s">
        <v>10</v>
      </c>
      <c r="E18" s="1" t="s">
        <v>38</v>
      </c>
      <c r="F18" s="107"/>
      <c r="G18" s="107"/>
      <c r="H18" s="221"/>
      <c r="I18" s="85" t="s">
        <v>10</v>
      </c>
      <c r="J18" s="1" t="s">
        <v>179</v>
      </c>
      <c r="K18" s="108"/>
      <c r="M18" s="4"/>
    </row>
    <row r="19" spans="2:13">
      <c r="B19" s="109"/>
      <c r="C19" s="221"/>
      <c r="D19" s="85" t="s">
        <v>11</v>
      </c>
      <c r="E19" s="1" t="s">
        <v>38</v>
      </c>
      <c r="F19" s="107"/>
      <c r="G19" s="107"/>
      <c r="H19" s="221"/>
      <c r="I19" s="85" t="s">
        <v>11</v>
      </c>
      <c r="J19" s="1" t="s">
        <v>179</v>
      </c>
      <c r="K19" s="108"/>
    </row>
    <row r="20" spans="2:13">
      <c r="B20" s="109"/>
      <c r="C20" s="221"/>
      <c r="D20" s="85" t="s">
        <v>12</v>
      </c>
      <c r="E20" s="1">
        <v>1</v>
      </c>
      <c r="F20" s="107"/>
      <c r="G20" s="107"/>
      <c r="H20" s="221"/>
      <c r="I20" s="85" t="s">
        <v>12</v>
      </c>
      <c r="J20" s="1">
        <v>0</v>
      </c>
      <c r="K20" s="108"/>
    </row>
    <row r="21" spans="2:13" ht="14.4" thickBot="1">
      <c r="B21" s="109"/>
      <c r="C21" s="222"/>
      <c r="D21" s="86" t="s">
        <v>13</v>
      </c>
      <c r="E21" s="2">
        <v>1</v>
      </c>
      <c r="F21" s="107"/>
      <c r="G21" s="107"/>
      <c r="H21" s="222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3"/>
      <c r="E24" s="149"/>
      <c r="F24" s="107"/>
      <c r="G24" s="107"/>
      <c r="H24" s="148" t="s">
        <v>53</v>
      </c>
      <c r="I24" s="223"/>
      <c r="J24" s="149"/>
      <c r="K24" s="108"/>
    </row>
    <row r="25" spans="2:13">
      <c r="B25" s="109"/>
      <c r="C25" s="221" t="s">
        <v>0</v>
      </c>
      <c r="D25" s="85" t="s">
        <v>46</v>
      </c>
      <c r="E25" s="1">
        <v>10.5</v>
      </c>
      <c r="F25" s="107"/>
      <c r="G25" s="107"/>
      <c r="H25" s="221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1"/>
      <c r="D26" s="85" t="s">
        <v>45</v>
      </c>
      <c r="E26" s="1">
        <v>70</v>
      </c>
      <c r="F26" s="107"/>
      <c r="G26" s="107"/>
      <c r="H26" s="221"/>
      <c r="I26" s="85" t="s">
        <v>45</v>
      </c>
      <c r="J26" s="1">
        <v>0</v>
      </c>
      <c r="K26" s="108"/>
    </row>
    <row r="27" spans="2:13">
      <c r="B27" s="109"/>
      <c r="C27" s="221"/>
      <c r="D27" s="85" t="s">
        <v>44</v>
      </c>
      <c r="E27" s="1">
        <f>24*60</f>
        <v>1440</v>
      </c>
      <c r="F27" s="107"/>
      <c r="G27" s="107"/>
      <c r="H27" s="221"/>
      <c r="I27" s="85" t="s">
        <v>44</v>
      </c>
      <c r="J27" s="1">
        <v>0</v>
      </c>
      <c r="K27" s="108"/>
    </row>
    <row r="28" spans="2:13">
      <c r="B28" s="109"/>
      <c r="C28" s="221" t="s">
        <v>1</v>
      </c>
      <c r="D28" s="85" t="s">
        <v>2</v>
      </c>
      <c r="E28" s="1">
        <v>30</v>
      </c>
      <c r="F28" s="107"/>
      <c r="G28" s="107"/>
      <c r="H28" s="221" t="s">
        <v>1</v>
      </c>
      <c r="I28" s="85" t="s">
        <v>2</v>
      </c>
      <c r="J28" s="1">
        <v>1500</v>
      </c>
      <c r="K28" s="108"/>
    </row>
    <row r="29" spans="2:13">
      <c r="B29" s="109"/>
      <c r="C29" s="221"/>
      <c r="D29" s="85" t="s">
        <v>47</v>
      </c>
      <c r="E29" s="1">
        <v>0</v>
      </c>
      <c r="F29" s="107"/>
      <c r="G29" s="107"/>
      <c r="H29" s="221"/>
      <c r="I29" s="85" t="s">
        <v>47</v>
      </c>
      <c r="J29" s="1">
        <v>7200</v>
      </c>
      <c r="K29" s="108"/>
    </row>
    <row r="30" spans="2:13">
      <c r="B30" s="109"/>
      <c r="C30" s="221"/>
      <c r="D30" s="85" t="s">
        <v>43</v>
      </c>
      <c r="E30" s="1">
        <v>120</v>
      </c>
      <c r="F30" s="107"/>
      <c r="G30" s="107"/>
      <c r="H30" s="221"/>
      <c r="I30" s="85" t="s">
        <v>43</v>
      </c>
      <c r="J30" s="1">
        <v>7200</v>
      </c>
      <c r="K30" s="108"/>
    </row>
    <row r="31" spans="2:13">
      <c r="B31" s="109"/>
      <c r="C31" s="221" t="s">
        <v>3</v>
      </c>
      <c r="D31" s="85" t="s">
        <v>4</v>
      </c>
      <c r="E31" s="1" t="s">
        <v>38</v>
      </c>
      <c r="F31" s="107"/>
      <c r="G31" s="107"/>
      <c r="H31" s="221" t="s">
        <v>3</v>
      </c>
      <c r="I31" s="85" t="s">
        <v>4</v>
      </c>
      <c r="J31" s="1" t="s">
        <v>179</v>
      </c>
      <c r="K31" s="108"/>
    </row>
    <row r="32" spans="2:13">
      <c r="B32" s="109"/>
      <c r="C32" s="221"/>
      <c r="D32" s="85" t="s">
        <v>5</v>
      </c>
      <c r="E32" s="1" t="s">
        <v>38</v>
      </c>
      <c r="F32" s="107"/>
      <c r="G32" s="107"/>
      <c r="H32" s="221"/>
      <c r="I32" s="85" t="s">
        <v>5</v>
      </c>
      <c r="J32" s="1" t="s">
        <v>179</v>
      </c>
      <c r="K32" s="108"/>
    </row>
    <row r="33" spans="2:11">
      <c r="B33" s="109"/>
      <c r="C33" s="221"/>
      <c r="D33" s="85" t="s">
        <v>6</v>
      </c>
      <c r="E33" s="1" t="s">
        <v>38</v>
      </c>
      <c r="F33" s="107"/>
      <c r="G33" s="107"/>
      <c r="H33" s="221"/>
      <c r="I33" s="85" t="s">
        <v>6</v>
      </c>
      <c r="J33" s="1" t="s">
        <v>179</v>
      </c>
      <c r="K33" s="108"/>
    </row>
    <row r="34" spans="2:11">
      <c r="B34" s="109"/>
      <c r="C34" s="221"/>
      <c r="D34" s="85" t="s">
        <v>7</v>
      </c>
      <c r="E34" s="1" t="s">
        <v>38</v>
      </c>
      <c r="F34" s="107"/>
      <c r="G34" s="107"/>
      <c r="H34" s="221"/>
      <c r="I34" s="85" t="s">
        <v>7</v>
      </c>
      <c r="J34" s="1" t="s">
        <v>179</v>
      </c>
      <c r="K34" s="108"/>
    </row>
    <row r="35" spans="2:11">
      <c r="B35" s="109"/>
      <c r="C35" s="221" t="s">
        <v>8</v>
      </c>
      <c r="D35" s="85" t="s">
        <v>9</v>
      </c>
      <c r="E35" s="1" t="s">
        <v>38</v>
      </c>
      <c r="F35" s="107"/>
      <c r="G35" s="107"/>
      <c r="H35" s="221" t="s">
        <v>8</v>
      </c>
      <c r="I35" s="85" t="s">
        <v>9</v>
      </c>
      <c r="J35" s="1" t="s">
        <v>179</v>
      </c>
      <c r="K35" s="108"/>
    </row>
    <row r="36" spans="2:11">
      <c r="B36" s="109"/>
      <c r="C36" s="221"/>
      <c r="D36" s="85" t="s">
        <v>10</v>
      </c>
      <c r="E36" s="1" t="s">
        <v>38</v>
      </c>
      <c r="F36" s="107"/>
      <c r="G36" s="107"/>
      <c r="H36" s="221"/>
      <c r="I36" s="85" t="s">
        <v>10</v>
      </c>
      <c r="J36" s="1" t="s">
        <v>179</v>
      </c>
      <c r="K36" s="108"/>
    </row>
    <row r="37" spans="2:11">
      <c r="B37" s="109"/>
      <c r="C37" s="221"/>
      <c r="D37" s="85" t="s">
        <v>11</v>
      </c>
      <c r="E37" s="1" t="s">
        <v>38</v>
      </c>
      <c r="F37" s="107"/>
      <c r="G37" s="107"/>
      <c r="H37" s="221"/>
      <c r="I37" s="85" t="s">
        <v>11</v>
      </c>
      <c r="J37" s="1" t="s">
        <v>179</v>
      </c>
      <c r="K37" s="108"/>
    </row>
    <row r="38" spans="2:11">
      <c r="B38" s="109"/>
      <c r="C38" s="221"/>
      <c r="D38" s="85" t="s">
        <v>12</v>
      </c>
      <c r="E38" s="1">
        <v>1</v>
      </c>
      <c r="F38" s="107"/>
      <c r="G38" s="107"/>
      <c r="H38" s="221"/>
      <c r="I38" s="85" t="s">
        <v>12</v>
      </c>
      <c r="J38" s="1">
        <v>0</v>
      </c>
      <c r="K38" s="108"/>
    </row>
    <row r="39" spans="2:11" ht="14.4" thickBot="1">
      <c r="B39" s="109"/>
      <c r="C39" s="222"/>
      <c r="D39" s="86" t="s">
        <v>13</v>
      </c>
      <c r="E39" s="2">
        <v>1</v>
      </c>
      <c r="F39" s="107"/>
      <c r="G39" s="107"/>
      <c r="H39" s="222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34" t="s">
        <v>148</v>
      </c>
      <c r="C1" s="191"/>
      <c r="D1" s="177"/>
      <c r="F1" s="35"/>
      <c r="G1" s="35"/>
      <c r="H1" s="235" t="s">
        <v>148</v>
      </c>
      <c r="I1" s="191"/>
      <c r="J1" s="177"/>
      <c r="L1" s="35"/>
    </row>
    <row r="2" spans="2:16" ht="17.399999999999999">
      <c r="B2" s="40" t="s">
        <v>149</v>
      </c>
      <c r="C2" s="189" t="s">
        <v>150</v>
      </c>
      <c r="D2" s="184"/>
      <c r="F2" s="35"/>
      <c r="H2" s="39" t="s">
        <v>149</v>
      </c>
      <c r="I2" s="189" t="s">
        <v>150</v>
      </c>
      <c r="J2" s="184"/>
      <c r="L2" s="35"/>
      <c r="N2" s="224" t="s">
        <v>161</v>
      </c>
      <c r="O2" s="225"/>
      <c r="P2" s="226"/>
    </row>
    <row r="3" spans="2:16" ht="15" customHeight="1">
      <c r="B3" s="38" t="s">
        <v>151</v>
      </c>
      <c r="C3" s="183">
        <f>[1]Calculator!N18</f>
        <v>0.75</v>
      </c>
      <c r="D3" s="184"/>
      <c r="F3" s="35"/>
      <c r="G3" s="37"/>
      <c r="H3" s="36" t="s">
        <v>151</v>
      </c>
      <c r="I3" s="183">
        <f>[1]Calculator!N18</f>
        <v>0.75</v>
      </c>
      <c r="J3" s="184"/>
      <c r="L3" s="35"/>
      <c r="N3" s="227"/>
      <c r="O3" s="193"/>
      <c r="P3" s="228"/>
    </row>
    <row r="4" spans="2:16" ht="15" customHeight="1">
      <c r="B4" s="38" t="s">
        <v>152</v>
      </c>
      <c r="C4" s="183">
        <f>[1]Calculator!N19</f>
        <v>0.875</v>
      </c>
      <c r="D4" s="184"/>
      <c r="F4" s="35"/>
      <c r="G4" s="37"/>
      <c r="H4" s="36" t="s">
        <v>152</v>
      </c>
      <c r="I4" s="183">
        <f>[1]Calculator!N19</f>
        <v>0.875</v>
      </c>
      <c r="J4" s="184"/>
      <c r="L4" s="35"/>
      <c r="N4" s="229"/>
      <c r="O4" s="230"/>
      <c r="P4" s="184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31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33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32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32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80" t="s">
        <v>158</v>
      </c>
      <c r="C9" s="191"/>
      <c r="D9" s="191"/>
      <c r="E9" s="191"/>
      <c r="F9" s="177"/>
      <c r="H9" s="181" t="s">
        <v>159</v>
      </c>
      <c r="I9" s="191"/>
      <c r="J9" s="191"/>
      <c r="K9" s="191"/>
      <c r="L9" s="177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2026-08-12T20:35:04Z</dcterms:modified>
</cp:coreProperties>
</file>