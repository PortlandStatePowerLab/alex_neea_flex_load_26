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"/>
    </mc:Choice>
  </mc:AlternateContent>
  <xr:revisionPtr revIDLastSave="0" documentId="13_ncr:1_{5760F62E-047A-491D-82F5-802DA59E60C0}" xr6:coauthVersionLast="47" xr6:coauthVersionMax="47" xr10:uidLastSave="{00000000-0000-0000-0000-000000000000}"/>
  <bookViews>
    <workbookView xWindow="-5685" yWindow="-21720" windowWidth="38640" windowHeight="21120" activeTab="1" xr2:uid="{CFFFAC19-26EA-4B04-86D6-CA21A88209CD}"/>
  </bookViews>
  <sheets>
    <sheet name="Instructions" sheetId="12" r:id="rId1"/>
    <sheet name="Calculator" sheetId="11" r:id="rId2"/>
    <sheet name="Input Calculations" sheetId="5" state="hidden" r:id="rId3"/>
    <sheet name="Lookup" sheetId="4" state="hidden" r:id="rId4"/>
    <sheet name="CF Data" sheetId="8" state="hidden" r:id="rId5"/>
    <sheet name="Metric Coefficients" sheetId="3" state="hidden" r:id="rId6"/>
    <sheet name="(Non)Ideal Flex Load" sheetId="2" state="hidden" r:id="rId7"/>
    <sheet name="LME Demand" sheetId="7" state="hidden" r:id="rId8"/>
  </sheets>
  <externalReferences>
    <externalReference r:id="rId9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40" i="11" l="1"/>
  <c r="K35" i="11"/>
  <c r="G46" i="4"/>
  <c r="Q23" i="5" s="1"/>
  <c r="G45" i="4"/>
  <c r="G44" i="4"/>
  <c r="Q21" i="5" s="1"/>
  <c r="G43" i="4"/>
  <c r="G42" i="4"/>
  <c r="G41" i="4"/>
  <c r="Q18" i="5" s="1"/>
  <c r="H32" i="11"/>
  <c r="H38" i="11" s="1"/>
  <c r="H31" i="11"/>
  <c r="H37" i="11" s="1"/>
  <c r="H30" i="11"/>
  <c r="H36" i="11" s="1"/>
  <c r="G48" i="11"/>
  <c r="H29" i="11"/>
  <c r="H35" i="11" s="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Q19" i="5" l="1"/>
  <c r="Q22" i="5" s="1"/>
  <c r="G47" i="11"/>
  <c r="G38" i="11"/>
  <c r="G32" i="11"/>
  <c r="G37" i="11"/>
  <c r="G31" i="11"/>
  <c r="E6" i="5"/>
  <c r="M7" i="11"/>
  <c r="M6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N35" i="11" l="1"/>
  <c r="E10" i="3"/>
  <c r="J10" i="3"/>
  <c r="J12" i="3"/>
  <c r="E12" i="3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8" i="11" s="1"/>
  <c r="E9" i="3"/>
  <c r="G29" i="11" s="1"/>
  <c r="D47" i="11" s="1"/>
</calcChain>
</file>

<file path=xl/sharedStrings.xml><?xml version="1.0" encoding="utf-8"?>
<sst xmlns="http://schemas.openxmlformats.org/spreadsheetml/2006/main" count="683" uniqueCount="189">
  <si>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</si>
  <si>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</si>
  <si>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</si>
  <si>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</si>
  <si>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</si>
  <si>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</si>
  <si>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</si>
  <si>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</si>
  <si>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</si>
  <si>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</si>
  <si>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</si>
  <si>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</si>
  <si>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</si>
  <si>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</si>
  <si>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</si>
  <si>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</si>
  <si>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</si>
  <si>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</si>
  <si>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</si>
  <si>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</si>
  <si>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</si>
  <si>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</si>
  <si>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</si>
  <si>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</si>
  <si>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</si>
  <si>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</si>
  <si>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</si>
  <si>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</si>
  <si>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</si>
  <si>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</si>
  <si>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</si>
  <si>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</si>
  <si>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</si>
  <si>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</si>
  <si>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</si>
  <si>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</si>
  <si>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</si>
  <si>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</si>
  <si>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</si>
  <si>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</si>
  <si>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</si>
  <si>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</si>
  <si>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</si>
  <si>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</si>
  <si>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</si>
  <si>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</si>
  <si>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</si>
  <si>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</si>
  <si>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</si>
  <si>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</si>
  <si>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</si>
  <si>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</si>
  <si>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</si>
  <si>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</si>
  <si>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</si>
  <si>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</si>
  <si>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</si>
  <si>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</si>
  <si>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</si>
  <si>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</si>
  <si>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</si>
  <si>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</si>
  <si>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</si>
  <si>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</si>
  <si>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</si>
  <si>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</si>
  <si>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</si>
  <si>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</si>
  <si>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</si>
  <si>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</si>
  <si>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</si>
  <si>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</si>
  <si>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</si>
  <si>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</si>
  <si>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</si>
  <si>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</si>
  <si>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</si>
  <si>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</si>
  <si>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</si>
  <si>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</si>
  <si>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</si>
  <si>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</si>
  <si>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</si>
  <si>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</si>
  <si>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</si>
  <si>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</si>
  <si>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</si>
  <si>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</si>
  <si>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</si>
  <si>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</si>
  <si>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</si>
  <si>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</si>
  <si>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</si>
  <si>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</si>
  <si>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</si>
  <si>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</si>
  <si>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</si>
  <si>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</si>
  <si>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</si>
  <si>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</si>
  <si>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</si>
  <si>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</si>
  <si>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</si>
  <si>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</si>
  <si>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</si>
  <si>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</si>
  <si>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</si>
  <si>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</si>
  <si>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</si>
  <si>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</si>
  <si>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</si>
  <si>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</si>
  <si>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</si>
  <si>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</si>
  <si>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</si>
  <si>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</si>
  <si>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</si>
  <si>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</si>
  <si>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</si>
  <si>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</si>
  <si>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</si>
  <si>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</si>
  <si>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</si>
  <si>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</si>
  <si>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</si>
  <si>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</si>
  <si>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</si>
  <si>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</si>
  <si>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Adoption</t>
  </si>
  <si>
    <t>Population (N)</t>
  </si>
  <si>
    <t>Sample (n)</t>
  </si>
  <si>
    <t>Adoption Rate (α)</t>
  </si>
  <si>
    <t>DR Participation (ρ)</t>
  </si>
  <si>
    <t>% Reachable (ω)</t>
  </si>
  <si>
    <t>LME Load (MWh)</t>
  </si>
  <si>
    <t>-</t>
  </si>
  <si>
    <t>Start (HH:MM)</t>
  </si>
  <si>
    <t>Stop (HH:MM)</t>
  </si>
  <si>
    <t>Event Duration (hr)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</si>
  <si>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</si>
  <si>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</si>
  <si>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</si>
  <si>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</si>
  <si>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</si>
  <si>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</si>
  <si>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</si>
  <si>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</si>
  <si>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</si>
  <si>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</si>
  <si>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</si>
  <si>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</si>
  <si>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</si>
  <si>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</si>
  <si>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</si>
  <si>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</si>
  <si>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</si>
  <si>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</si>
  <si>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</si>
  <si>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</si>
  <si>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</si>
  <si>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</si>
  <si>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</si>
  <si>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</si>
  <si>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</si>
  <si>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</si>
  <si>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</si>
  <si>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</si>
  <si>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</si>
  <si>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July - Max</t>
  </si>
  <si>
    <t>BuildCap</t>
  </si>
  <si>
    <t>FLS</t>
  </si>
  <si>
    <t>TFP</t>
  </si>
  <si>
    <t>No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</si>
  <si>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</si>
  <si>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</si>
  <si>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</si>
  <si>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</si>
  <si>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</si>
  <si>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</si>
  <si>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</si>
  <si>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</si>
  <si>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</si>
  <si>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</si>
  <si>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</si>
  <si>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</si>
  <si>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</si>
  <si>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AO Smith HP1050H45DVCTA-1</t>
  </si>
  <si>
    <t>% Correlation (Fast)</t>
  </si>
  <si>
    <t>% Correlation (Slow)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</si>
</sst>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20" fontId="2" fillId="17" borderId="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1" fontId="2" fillId="0" borderId="46" xfId="0" applyNumberFormat="1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20" fontId="2" fillId="17" borderId="25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2" fontId="2" fillId="17" borderId="2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0" fontId="14" fillId="0" borderId="27" xfId="0" applyFont="1" applyBorder="1"/>
    <xf numFmtId="2" fontId="15" fillId="0" borderId="29" xfId="0" applyNumberFormat="1" applyFont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13" fillId="19" borderId="29" xfId="0" applyFont="1" applyFill="1" applyBorder="1" applyAlignment="1">
      <alignment horizontal="center" vertical="center"/>
    </xf>
    <xf numFmtId="164" fontId="15" fillId="0" borderId="33" xfId="0" applyNumberFormat="1" applyFont="1" applyBorder="1" applyAlignment="1">
      <alignment horizontal="center"/>
    </xf>
    <xf numFmtId="0" fontId="14" fillId="0" borderId="32" xfId="0" applyFont="1" applyBorder="1"/>
    <xf numFmtId="2" fontId="15" fillId="20" borderId="29" xfId="0" applyNumberFormat="1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2" fontId="2" fillId="9" borderId="0" xfId="0" applyNumberFormat="1" applyFont="1" applyFill="1" applyBorder="1" applyAlignment="1">
      <alignment horizontal="center" vertical="center"/>
    </xf>
    <xf numFmtId="0" fontId="0" fillId="9" borderId="0" xfId="0" applyFill="1" applyBorder="1"/>
    <xf numFmtId="0" fontId="3" fillId="9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1234440</xdr:colOff>
      <xdr:row>27</xdr:row>
      <xdr:rowOff>13334</xdr:rowOff>
    </xdr:from>
    <xdr:to>
      <xdr:col>10</xdr:col>
      <xdr:colOff>581024</xdr:colOff>
      <xdr:row>31</xdr:row>
      <xdr:rowOff>15240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59040" y="5414009"/>
          <a:ext cx="3785234" cy="80200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552450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27</xdr:row>
          <xdr:rowOff>74295</xdr:rowOff>
        </xdr:from>
        <xdr:to>
          <xdr:col>10</xdr:col>
          <xdr:colOff>529590</xdr:colOff>
          <xdr:row>30</xdr:row>
          <xdr:rowOff>161925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135255</xdr:colOff>
      <xdr:row>26</xdr:row>
      <xdr:rowOff>97154</xdr:rowOff>
    </xdr:from>
    <xdr:to>
      <xdr:col>15</xdr:col>
      <xdr:colOff>91440</xdr:colOff>
      <xdr:row>41</xdr:row>
      <xdr:rowOff>95250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92430" y="5297804"/>
          <a:ext cx="15901035" cy="2998471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135255</xdr:colOff>
      <xdr:row>44</xdr:row>
      <xdr:rowOff>152400</xdr:rowOff>
    </xdr:from>
    <xdr:to>
      <xdr:col>7</xdr:col>
      <xdr:colOff>95250</xdr:colOff>
      <xdr:row>48</xdr:row>
      <xdr:rowOff>97155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2430" y="8553450"/>
          <a:ext cx="5655945" cy="93535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914400</xdr:colOff>
      <xdr:row>42</xdr:row>
      <xdr:rowOff>106680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09850" y="850773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1085850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167640</xdr:colOff>
          <xdr:row>18</xdr:row>
          <xdr:rowOff>167640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53</xdr:row>
          <xdr:rowOff>83820</xdr:rowOff>
        </xdr:from>
        <xdr:to>
          <xdr:col>10</xdr:col>
          <xdr:colOff>701040</xdr:colOff>
          <xdr:row>56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24">
  <autoFilter ref="C3:G61" xr:uid="{FD36FDB8-118A-445F-A3A9-01E3A65F72D5}"/>
  <tableColumns count="5">
    <tableColumn id="1" xr3:uid="{F8ACE43F-6D69-4B0C-8B1B-5F6C87C99E73}" name="Flex Load Type" dataDxfId="23"/>
    <tableColumn id="2" xr3:uid="{8F3A6BA7-F4F5-479D-AFFB-48F23E4D9E21}" name="Order"/>
    <tableColumn id="4" xr3:uid="{521C49CB-D061-4551-AF40-775402799B2F}" name="Variable" dataDxfId="22"/>
    <tableColumn id="3" xr3:uid="{8943C7E4-E219-4FFA-BAE4-DF75800AC528}" name="Input" dataDxfId="21"/>
    <tableColumn id="5" xr3:uid="{DDFD7414-E7E6-475A-A43C-BBC83C51DACD}" name="Values" dataDxfId="2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Q26" sqref="Q26"/>
    </sheetView>
  </sheetViews>
  <sheetFormatPr defaultRowHeight="14.4"/>
  <cols>
    <col min="1" max="1" width="3.77734375" customWidth="1"/>
  </cols>
  <sheetData>
    <row r="1" spans="2:16" ht="15" thickBot="1"/>
    <row r="2" spans="2:16">
      <c r="B2" s="113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5"/>
    </row>
    <row r="3" spans="2:16">
      <c r="B3" s="116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7"/>
    </row>
    <row r="4" spans="2:16">
      <c r="B4" s="116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7"/>
    </row>
    <row r="5" spans="2:16">
      <c r="B5" s="116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7"/>
    </row>
    <row r="6" spans="2:16">
      <c r="B6" s="116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7"/>
    </row>
    <row r="7" spans="2:16">
      <c r="B7" s="116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7"/>
    </row>
    <row r="8" spans="2:16">
      <c r="B8" s="116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7"/>
    </row>
    <row r="9" spans="2:16">
      <c r="B9" s="116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7"/>
    </row>
    <row r="10" spans="2:16">
      <c r="B10" s="116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7"/>
    </row>
    <row r="11" spans="2:16">
      <c r="B11" s="116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7"/>
    </row>
    <row r="12" spans="2:16">
      <c r="B12" s="116"/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7"/>
    </row>
    <row r="13" spans="2:16">
      <c r="B13" s="116"/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7"/>
    </row>
    <row r="14" spans="2:16">
      <c r="B14" s="116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7"/>
    </row>
    <row r="15" spans="2:16">
      <c r="B15" s="116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7"/>
    </row>
    <row r="16" spans="2:16">
      <c r="B16" s="116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7"/>
    </row>
    <row r="17" spans="2:16">
      <c r="B17" s="116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7"/>
    </row>
    <row r="18" spans="2:16">
      <c r="B18" s="116"/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7"/>
    </row>
    <row r="19" spans="2:16">
      <c r="B19" s="116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7"/>
    </row>
    <row r="20" spans="2:16">
      <c r="B20" s="116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7"/>
    </row>
    <row r="21" spans="2:16">
      <c r="B21" s="116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7"/>
    </row>
    <row r="22" spans="2:16">
      <c r="B22" s="116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7"/>
    </row>
    <row r="23" spans="2:16">
      <c r="B23" s="116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7"/>
    </row>
    <row r="24" spans="2:16">
      <c r="B24" s="116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7"/>
    </row>
    <row r="25" spans="2:16">
      <c r="B25" s="116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7"/>
    </row>
    <row r="26" spans="2:16">
      <c r="B26" s="116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7"/>
    </row>
    <row r="27" spans="2:16">
      <c r="B27" s="116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7"/>
    </row>
    <row r="28" spans="2:16">
      <c r="B28" s="116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7"/>
    </row>
    <row r="29" spans="2:16">
      <c r="B29" s="116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117"/>
    </row>
    <row r="30" spans="2:16">
      <c r="B30" s="116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117"/>
    </row>
    <row r="31" spans="2:16">
      <c r="B31" s="116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7"/>
    </row>
    <row r="32" spans="2:16">
      <c r="B32" s="116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7"/>
    </row>
    <row r="33" spans="2:16">
      <c r="B33" s="116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7"/>
    </row>
    <row r="34" spans="2:16">
      <c r="B34" s="116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7"/>
    </row>
    <row r="35" spans="2:16">
      <c r="B35" s="116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7"/>
    </row>
    <row r="36" spans="2:16">
      <c r="B36" s="116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7"/>
    </row>
    <row r="37" spans="2:16">
      <c r="B37" s="116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7"/>
    </row>
    <row r="38" spans="2:16">
      <c r="B38" s="116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7"/>
    </row>
    <row r="39" spans="2:16">
      <c r="B39" s="116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7"/>
    </row>
    <row r="40" spans="2:16">
      <c r="B40" s="116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7"/>
    </row>
    <row r="41" spans="2:16">
      <c r="B41" s="116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7"/>
    </row>
    <row r="42" spans="2:16">
      <c r="B42" s="116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7"/>
    </row>
    <row r="43" spans="2:16">
      <c r="B43" s="116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7"/>
    </row>
    <row r="44" spans="2:16">
      <c r="B44" s="116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7"/>
    </row>
    <row r="45" spans="2:16">
      <c r="B45" s="116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7"/>
    </row>
    <row r="46" spans="2:16">
      <c r="B46" s="116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7"/>
    </row>
    <row r="47" spans="2:16" ht="15" thickBot="1">
      <c r="B47" s="118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2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60"/>
  <sheetViews>
    <sheetView tabSelected="1" zoomScaleNormal="100" workbookViewId="0">
      <selection activeCell="Z42" sqref="Z42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1.554687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09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1"/>
    </row>
    <row r="3" spans="2:33" ht="16.05" customHeight="1">
      <c r="B3" s="108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29"/>
      <c r="P3" s="107"/>
      <c r="AG3" s="4"/>
    </row>
    <row r="4" spans="2:33" ht="16.05" customHeight="1" thickBot="1">
      <c r="B4" s="108"/>
      <c r="C4" s="229"/>
      <c r="D4" s="229"/>
      <c r="E4" s="229"/>
      <c r="F4" s="229"/>
      <c r="G4" s="229"/>
      <c r="H4" s="229"/>
      <c r="I4" s="229"/>
      <c r="J4" s="104"/>
      <c r="K4" s="229"/>
      <c r="L4" s="229"/>
      <c r="M4" s="104"/>
      <c r="N4" s="229"/>
      <c r="O4" s="229"/>
      <c r="P4" s="107"/>
      <c r="AG4" s="4"/>
    </row>
    <row r="5" spans="2:33" ht="16.05" customHeight="1">
      <c r="B5" s="108"/>
      <c r="C5" s="229"/>
      <c r="D5" s="229"/>
      <c r="E5" s="229"/>
      <c r="F5" s="229"/>
      <c r="G5" s="229"/>
      <c r="H5" s="107"/>
      <c r="I5" s="144" t="s">
        <v>87</v>
      </c>
      <c r="J5" s="145"/>
      <c r="K5" s="146"/>
      <c r="L5" s="229"/>
      <c r="M5" s="144" t="s">
        <v>88</v>
      </c>
      <c r="N5" s="145"/>
      <c r="O5" s="146"/>
      <c r="P5" s="107"/>
      <c r="AG5" s="4"/>
    </row>
    <row r="6" spans="2:33" ht="16.05" customHeight="1">
      <c r="B6" s="108"/>
      <c r="C6" s="229"/>
      <c r="D6" s="229"/>
      <c r="E6" s="229"/>
      <c r="F6" s="229"/>
      <c r="G6" s="229"/>
      <c r="H6" s="107"/>
      <c r="I6" s="156" t="s">
        <v>117</v>
      </c>
      <c r="J6" s="157"/>
      <c r="K6" s="158"/>
      <c r="L6" s="229"/>
      <c r="M6" s="147" t="str">
        <f>I6</f>
        <v>Heat Pump Water Heater</v>
      </c>
      <c r="N6" s="148"/>
      <c r="O6" s="149"/>
      <c r="P6" s="107"/>
      <c r="AG6" s="4"/>
    </row>
    <row r="7" spans="2:33" ht="16.05" customHeight="1">
      <c r="B7" s="108"/>
      <c r="C7" s="229"/>
      <c r="D7" s="229"/>
      <c r="E7" s="229"/>
      <c r="F7" s="229"/>
      <c r="G7" s="229"/>
      <c r="H7" s="229"/>
      <c r="I7" s="150" t="s">
        <v>186</v>
      </c>
      <c r="J7" s="151"/>
      <c r="K7" s="152"/>
      <c r="L7" s="229"/>
      <c r="M7" s="150" t="str">
        <f>I7</f>
        <v>AO Smith HP1050H45DVCTA-1</v>
      </c>
      <c r="N7" s="151"/>
      <c r="O7" s="152"/>
      <c r="P7" s="107"/>
    </row>
    <row r="8" spans="2:33" ht="16.05" customHeight="1">
      <c r="B8" s="108"/>
      <c r="C8" s="229"/>
      <c r="D8" s="229"/>
      <c r="E8" s="229"/>
      <c r="F8" s="229"/>
      <c r="G8" s="229"/>
      <c r="H8" s="229"/>
      <c r="I8" s="131" t="s">
        <v>91</v>
      </c>
      <c r="J8" s="121" t="s">
        <v>55</v>
      </c>
      <c r="K8" s="122" t="s">
        <v>118</v>
      </c>
      <c r="L8" s="229"/>
      <c r="M8" s="153" t="s">
        <v>0</v>
      </c>
      <c r="N8" s="85" t="s">
        <v>43</v>
      </c>
      <c r="O8" s="87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4.95</v>
      </c>
      <c r="P8" s="107"/>
    </row>
    <row r="9" spans="2:33" ht="16.05" customHeight="1">
      <c r="B9" s="108"/>
      <c r="C9" s="229"/>
      <c r="D9" s="229"/>
      <c r="E9" s="229"/>
      <c r="F9" s="229"/>
      <c r="G9" s="229"/>
      <c r="H9" s="229"/>
      <c r="I9" s="123" t="s">
        <v>92</v>
      </c>
      <c r="J9" s="85" t="s">
        <v>57</v>
      </c>
      <c r="K9" s="1">
        <v>0.45</v>
      </c>
      <c r="L9" s="229"/>
      <c r="M9" s="153"/>
      <c r="N9" s="85" t="s">
        <v>42</v>
      </c>
      <c r="O9" s="87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1.7924970691676436</v>
      </c>
      <c r="P9" s="107"/>
    </row>
    <row r="10" spans="2:33" ht="16.05" customHeight="1">
      <c r="B10" s="108"/>
      <c r="C10" s="229"/>
      <c r="D10" s="229"/>
      <c r="E10" s="229"/>
      <c r="F10" s="229"/>
      <c r="G10" s="229"/>
      <c r="H10" s="229"/>
      <c r="I10" s="123" t="s">
        <v>93</v>
      </c>
      <c r="J10" s="85" t="s">
        <v>58</v>
      </c>
      <c r="K10" s="1">
        <v>4.5</v>
      </c>
      <c r="L10" s="229"/>
      <c r="M10" s="153"/>
      <c r="N10" s="85" t="s">
        <v>41</v>
      </c>
      <c r="O10" s="87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21.727237202032043</v>
      </c>
      <c r="P10" s="107"/>
    </row>
    <row r="11" spans="2:33" ht="16.05" customHeight="1">
      <c r="B11" s="108"/>
      <c r="C11" s="229"/>
      <c r="D11" s="229"/>
      <c r="E11" s="229"/>
      <c r="F11" s="229"/>
      <c r="G11" s="229"/>
      <c r="H11" s="229"/>
      <c r="I11" s="123" t="s">
        <v>94</v>
      </c>
      <c r="J11" s="85" t="s">
        <v>59</v>
      </c>
      <c r="K11" s="1">
        <v>46</v>
      </c>
      <c r="L11" s="229"/>
      <c r="M11" s="153" t="s">
        <v>1</v>
      </c>
      <c r="N11" s="85" t="s">
        <v>2</v>
      </c>
      <c r="O11" s="87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30</v>
      </c>
      <c r="P11" s="107"/>
    </row>
    <row r="12" spans="2:33" ht="16.05" customHeight="1">
      <c r="B12" s="108"/>
      <c r="C12" s="229"/>
      <c r="D12" s="229"/>
      <c r="E12" s="229"/>
      <c r="F12" s="229"/>
      <c r="G12" s="229"/>
      <c r="H12" s="229"/>
      <c r="I12" s="123" t="s">
        <v>95</v>
      </c>
      <c r="J12" s="85" t="s">
        <v>60</v>
      </c>
      <c r="K12" s="1">
        <v>150</v>
      </c>
      <c r="L12" s="229"/>
      <c r="M12" s="153"/>
      <c r="N12" s="85" t="s">
        <v>44</v>
      </c>
      <c r="O12" s="87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1303.6342321219227</v>
      </c>
      <c r="P12" s="107"/>
    </row>
    <row r="13" spans="2:33" ht="16.05" customHeight="1">
      <c r="B13" s="108"/>
      <c r="C13" s="229"/>
      <c r="D13" s="229"/>
      <c r="E13" s="229"/>
      <c r="F13" s="229"/>
      <c r="G13" s="229"/>
      <c r="H13" s="229"/>
      <c r="I13" s="123" t="s">
        <v>96</v>
      </c>
      <c r="J13" s="85" t="s">
        <v>61</v>
      </c>
      <c r="K13" s="1">
        <v>95</v>
      </c>
      <c r="L13" s="229"/>
      <c r="M13" s="153"/>
      <c r="N13" s="85" t="s">
        <v>40</v>
      </c>
      <c r="O13" s="87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120</v>
      </c>
      <c r="P13" s="107"/>
    </row>
    <row r="14" spans="2:33" ht="16.05" customHeight="1">
      <c r="B14" s="108"/>
      <c r="C14" s="229"/>
      <c r="D14" s="229"/>
      <c r="E14" s="229"/>
      <c r="F14" s="229"/>
      <c r="G14" s="229"/>
      <c r="H14" s="229"/>
      <c r="I14" s="123" t="s">
        <v>97</v>
      </c>
      <c r="J14" s="85" t="s">
        <v>62</v>
      </c>
      <c r="K14" s="1">
        <v>3.45</v>
      </c>
      <c r="L14" s="229"/>
      <c r="M14" s="153" t="s">
        <v>3</v>
      </c>
      <c r="N14" s="85" t="s">
        <v>4</v>
      </c>
      <c r="O14" s="87" t="s">
        <v>38</v>
      </c>
      <c r="P14" s="107"/>
    </row>
    <row r="15" spans="2:33" ht="16.05" customHeight="1">
      <c r="B15" s="108"/>
      <c r="C15" s="229"/>
      <c r="D15" s="229"/>
      <c r="E15" s="229"/>
      <c r="F15" s="229"/>
      <c r="G15" s="229"/>
      <c r="H15" s="229"/>
      <c r="I15" s="123" t="s">
        <v>98</v>
      </c>
      <c r="J15" s="85" t="s">
        <v>63</v>
      </c>
      <c r="K15" s="1">
        <v>2</v>
      </c>
      <c r="L15" s="229"/>
      <c r="M15" s="153"/>
      <c r="N15" s="85" t="s">
        <v>5</v>
      </c>
      <c r="O15" s="87" t="s">
        <v>38</v>
      </c>
      <c r="P15" s="107"/>
    </row>
    <row r="16" spans="2:33" ht="16.05" customHeight="1">
      <c r="B16" s="108"/>
      <c r="C16" s="229"/>
      <c r="D16" s="229"/>
      <c r="E16" s="229"/>
      <c r="F16" s="229"/>
      <c r="G16" s="229"/>
      <c r="H16" s="229"/>
      <c r="I16" s="123" t="s">
        <v>100</v>
      </c>
      <c r="J16" s="85" t="s">
        <v>2</v>
      </c>
      <c r="K16" s="1">
        <v>30</v>
      </c>
      <c r="L16" s="229"/>
      <c r="M16" s="153"/>
      <c r="N16" s="85" t="s">
        <v>6</v>
      </c>
      <c r="O16" s="87" t="s">
        <v>38</v>
      </c>
      <c r="P16" s="107"/>
    </row>
    <row r="17" spans="2:16" ht="16.05" customHeight="1" thickBot="1">
      <c r="B17" s="108"/>
      <c r="C17" s="229"/>
      <c r="D17" s="229"/>
      <c r="E17" s="229"/>
      <c r="F17" s="229"/>
      <c r="G17" s="229"/>
      <c r="H17" s="229"/>
      <c r="I17" s="124" t="s">
        <v>101</v>
      </c>
      <c r="J17" s="86" t="s">
        <v>40</v>
      </c>
      <c r="K17" s="2">
        <v>120</v>
      </c>
      <c r="L17" s="229"/>
      <c r="M17" s="153"/>
      <c r="N17" s="85" t="s">
        <v>7</v>
      </c>
      <c r="O17" s="87" t="s">
        <v>38</v>
      </c>
      <c r="P17" s="107"/>
    </row>
    <row r="18" spans="2:16" ht="16.05" customHeight="1">
      <c r="B18" s="108"/>
      <c r="C18" s="229"/>
      <c r="D18" s="229"/>
      <c r="E18" s="229"/>
      <c r="F18" s="229"/>
      <c r="G18" s="229"/>
      <c r="H18" s="229"/>
      <c r="I18" s="229"/>
      <c r="J18" s="229"/>
      <c r="K18" s="229"/>
      <c r="L18" s="229"/>
      <c r="M18" s="153" t="s">
        <v>30</v>
      </c>
      <c r="N18" s="85" t="s">
        <v>9</v>
      </c>
      <c r="O18" s="87" t="s">
        <v>38</v>
      </c>
      <c r="P18" s="107"/>
    </row>
    <row r="19" spans="2:16" ht="16.05" customHeight="1">
      <c r="B19" s="108"/>
      <c r="C19" s="229"/>
      <c r="D19" s="229"/>
      <c r="E19" s="229"/>
      <c r="F19" s="229"/>
      <c r="G19" s="229"/>
      <c r="H19" s="229"/>
      <c r="I19" s="229"/>
      <c r="J19" s="230"/>
      <c r="K19" s="229"/>
      <c r="L19" s="229"/>
      <c r="M19" s="153"/>
      <c r="N19" s="85" t="s">
        <v>10</v>
      </c>
      <c r="O19" s="87" t="s">
        <v>38</v>
      </c>
      <c r="P19" s="107"/>
    </row>
    <row r="20" spans="2:16" ht="16.05" customHeight="1">
      <c r="B20" s="108"/>
      <c r="C20" s="229"/>
      <c r="D20" s="229"/>
      <c r="E20" s="229"/>
      <c r="F20" s="229"/>
      <c r="G20" s="229"/>
      <c r="H20" s="229"/>
      <c r="I20" s="229"/>
      <c r="J20" s="230"/>
      <c r="K20" s="229"/>
      <c r="L20" s="229"/>
      <c r="M20" s="153"/>
      <c r="N20" s="85" t="s">
        <v>11</v>
      </c>
      <c r="O20" s="87" t="s">
        <v>38</v>
      </c>
      <c r="P20" s="107"/>
    </row>
    <row r="21" spans="2:16" ht="16.05" customHeight="1">
      <c r="B21" s="108"/>
      <c r="C21" s="229"/>
      <c r="D21" s="229"/>
      <c r="E21" s="229"/>
      <c r="F21" s="229"/>
      <c r="G21" s="229"/>
      <c r="H21" s="229"/>
      <c r="I21" s="229"/>
      <c r="J21" s="230"/>
      <c r="K21" s="229"/>
      <c r="L21" s="229"/>
      <c r="M21" s="153"/>
      <c r="N21" s="85" t="s">
        <v>12</v>
      </c>
      <c r="O21" s="87">
        <v>0.5</v>
      </c>
      <c r="P21" s="107"/>
    </row>
    <row r="22" spans="2:16" ht="16.05" customHeight="1" thickBot="1">
      <c r="B22" s="108"/>
      <c r="C22" s="229"/>
      <c r="D22" s="229"/>
      <c r="E22" s="229"/>
      <c r="F22" s="229"/>
      <c r="G22" s="229"/>
      <c r="H22" s="229"/>
      <c r="I22" s="229"/>
      <c r="J22" s="229"/>
      <c r="K22" s="229"/>
      <c r="L22" s="229"/>
      <c r="M22" s="159"/>
      <c r="N22" s="86" t="s">
        <v>13</v>
      </c>
      <c r="O22" s="88">
        <v>0.5</v>
      </c>
      <c r="P22" s="107"/>
    </row>
    <row r="23" spans="2:16" ht="16.05" customHeight="1">
      <c r="B23" s="108"/>
      <c r="C23" s="229"/>
      <c r="D23" s="229"/>
      <c r="E23" s="229"/>
      <c r="F23" s="229"/>
      <c r="G23" s="229"/>
      <c r="H23" s="229"/>
      <c r="I23" s="229"/>
      <c r="J23" s="229"/>
      <c r="K23" s="229"/>
      <c r="L23" s="229"/>
      <c r="M23" s="229"/>
      <c r="N23" s="229"/>
      <c r="O23" s="229"/>
      <c r="P23" s="107"/>
    </row>
    <row r="24" spans="2:16" ht="16.05" customHeight="1">
      <c r="B24" s="108"/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107"/>
    </row>
    <row r="25" spans="2:16" ht="16.05" customHeight="1">
      <c r="B25" s="108"/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107"/>
    </row>
    <row r="26" spans="2:16" ht="16.05" customHeight="1">
      <c r="B26" s="108"/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/>
      <c r="P26" s="107"/>
    </row>
    <row r="27" spans="2:16" ht="16.05" customHeight="1" thickBot="1">
      <c r="B27" s="108"/>
      <c r="C27" s="229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29"/>
      <c r="P27" s="107"/>
    </row>
    <row r="28" spans="2:16" ht="16.05" customHeight="1">
      <c r="B28" s="108"/>
      <c r="C28" s="154" t="s">
        <v>29</v>
      </c>
      <c r="D28" s="155"/>
      <c r="E28" s="229"/>
      <c r="F28" s="96" t="s">
        <v>51</v>
      </c>
      <c r="G28" s="97" t="s">
        <v>31</v>
      </c>
      <c r="H28" s="98" t="s">
        <v>32</v>
      </c>
      <c r="I28" s="229"/>
      <c r="J28" s="233"/>
      <c r="K28" s="233"/>
      <c r="L28" s="229"/>
      <c r="M28" s="93"/>
      <c r="N28" s="97" t="s">
        <v>31</v>
      </c>
      <c r="O28" s="98" t="s">
        <v>32</v>
      </c>
      <c r="P28" s="107"/>
    </row>
    <row r="29" spans="2:16" ht="16.05" customHeight="1">
      <c r="B29" s="108"/>
      <c r="C29" s="99" t="s">
        <v>34</v>
      </c>
      <c r="D29" s="89">
        <v>4</v>
      </c>
      <c r="E29" s="229"/>
      <c r="F29" s="99" t="s">
        <v>0</v>
      </c>
      <c r="G29" s="85">
        <f>'Metric Coefficients'!E7*'Metric Coefficients'!E29+'Metric Coefficients'!E8*'Metric Coefficients'!E30+'Metric Coefficients'!E9*'Metric Coefficients'!E31</f>
        <v>1.5514604539223531</v>
      </c>
      <c r="H29" s="1">
        <f>SUM('Metric Coefficients'!E29:E31)</f>
        <v>10</v>
      </c>
      <c r="I29" s="229"/>
      <c r="J29" s="229"/>
      <c r="K29" s="229"/>
      <c r="L29" s="229"/>
      <c r="M29" s="99" t="s">
        <v>187</v>
      </c>
      <c r="N29" s="85">
        <v>12.959052716298402</v>
      </c>
      <c r="O29" s="1">
        <v>100</v>
      </c>
      <c r="P29" s="107"/>
    </row>
    <row r="30" spans="2:16" ht="16.05" customHeight="1">
      <c r="B30" s="108"/>
      <c r="C30" s="99" t="s">
        <v>35</v>
      </c>
      <c r="D30" s="89">
        <v>4</v>
      </c>
      <c r="E30" s="229"/>
      <c r="F30" s="99" t="s">
        <v>1</v>
      </c>
      <c r="G30" s="85">
        <f>'Metric Coefficients'!E10*'Metric Coefficients'!E32+'Metric Coefficients'!E11*'Metric Coefficients'!E33+'Metric Coefficients'!E12*'Metric Coefficients'!E34</f>
        <v>5.2168190699491994</v>
      </c>
      <c r="H30" s="1">
        <f>SUM('Metric Coefficients'!E32:E34)</f>
        <v>10</v>
      </c>
      <c r="I30" s="229"/>
      <c r="J30" s="234"/>
      <c r="K30" s="234"/>
      <c r="L30" s="229"/>
      <c r="M30" s="99" t="s">
        <v>188</v>
      </c>
      <c r="N30" s="85">
        <v>13.69755551533661</v>
      </c>
      <c r="O30" s="1">
        <v>100</v>
      </c>
      <c r="P30" s="107"/>
    </row>
    <row r="31" spans="2:16" ht="16.05" customHeight="1">
      <c r="B31" s="108"/>
      <c r="C31" s="99" t="s">
        <v>36</v>
      </c>
      <c r="D31" s="89">
        <v>1</v>
      </c>
      <c r="E31" s="229"/>
      <c r="F31" s="99" t="s">
        <v>3</v>
      </c>
      <c r="G31" s="85">
        <f>'Metric Coefficients'!E13*'Metric Coefficients'!E35+'Metric Coefficients'!E14*'Metric Coefficients'!E36+'Metric Coefficients'!E15*'Metric Coefficients'!E37+'Metric Coefficients'!E16*'Metric Coefficients'!E38</f>
        <v>10</v>
      </c>
      <c r="H31" s="1">
        <f>SUM('Metric Coefficients'!E35:E38)</f>
        <v>10</v>
      </c>
      <c r="I31" s="229"/>
      <c r="J31" s="231"/>
      <c r="K31" s="229"/>
      <c r="L31" s="229"/>
      <c r="M31" s="99" t="s">
        <v>132</v>
      </c>
      <c r="N31" s="91">
        <v>1</v>
      </c>
      <c r="O31" s="1">
        <v>1</v>
      </c>
      <c r="P31" s="107"/>
    </row>
    <row r="32" spans="2:16" ht="16.05" customHeight="1" thickBot="1">
      <c r="B32" s="108"/>
      <c r="C32" s="100" t="s">
        <v>37</v>
      </c>
      <c r="D32" s="90">
        <v>1</v>
      </c>
      <c r="E32" s="229"/>
      <c r="F32" s="100" t="s">
        <v>30</v>
      </c>
      <c r="G32" s="86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8</v>
      </c>
      <c r="H32" s="2">
        <f>SUM('Metric Coefficients'!E39:E43)</f>
        <v>10</v>
      </c>
      <c r="I32" s="229"/>
      <c r="J32" s="231"/>
      <c r="K32" s="229"/>
      <c r="L32" s="229"/>
      <c r="M32" s="100" t="s">
        <v>133</v>
      </c>
      <c r="N32" s="94">
        <v>1</v>
      </c>
      <c r="O32" s="2">
        <v>1</v>
      </c>
      <c r="P32" s="107"/>
    </row>
    <row r="33" spans="2:16" ht="16.05" customHeight="1" thickBot="1">
      <c r="B33" s="108"/>
      <c r="C33" s="229"/>
      <c r="D33" s="229"/>
      <c r="E33" s="229"/>
      <c r="F33" s="229"/>
      <c r="G33" s="229"/>
      <c r="H33" s="229"/>
      <c r="I33" s="229"/>
      <c r="J33" s="142" t="s">
        <v>128</v>
      </c>
      <c r="K33" s="143"/>
      <c r="L33" s="229"/>
      <c r="M33" s="106"/>
      <c r="N33" s="106"/>
      <c r="O33" s="106"/>
      <c r="P33" s="107"/>
    </row>
    <row r="34" spans="2:16" ht="16.05" customHeight="1">
      <c r="B34" s="108"/>
      <c r="C34" s="235"/>
      <c r="D34" s="235"/>
      <c r="E34" s="229"/>
      <c r="F34" s="96" t="s">
        <v>52</v>
      </c>
      <c r="G34" s="97" t="s">
        <v>31</v>
      </c>
      <c r="H34" s="98" t="s">
        <v>32</v>
      </c>
      <c r="I34" s="229"/>
      <c r="J34" s="99" t="s">
        <v>129</v>
      </c>
      <c r="K34" s="134">
        <v>815920</v>
      </c>
      <c r="L34" s="229"/>
      <c r="M34" s="139" t="s">
        <v>168</v>
      </c>
      <c r="N34" s="140"/>
      <c r="O34" s="141"/>
      <c r="P34" s="107"/>
    </row>
    <row r="35" spans="2:16" ht="16.05" customHeight="1" thickBot="1">
      <c r="B35" s="108"/>
      <c r="C35" s="235"/>
      <c r="D35" s="235"/>
      <c r="E35" s="229"/>
      <c r="F35" s="99" t="s">
        <v>0</v>
      </c>
      <c r="G35" s="85">
        <f>'Metric Coefficients'!J7*'Metric Coefficients'!E29+'Metric Coefficients'!J8*'Metric Coefficients'!E30+'Metric Coefficients'!J9*'Metric Coefficients'!E31</f>
        <v>1.5514604539223531</v>
      </c>
      <c r="H35" s="1">
        <f>H29</f>
        <v>10</v>
      </c>
      <c r="I35" s="229"/>
      <c r="J35" s="99" t="s">
        <v>130</v>
      </c>
      <c r="K35" s="92">
        <f>K36*K34</f>
        <v>410407.76</v>
      </c>
      <c r="L35" s="229"/>
      <c r="M35" s="100" t="s">
        <v>134</v>
      </c>
      <c r="N35" s="95">
        <f>IF(M34="July - Max", 'LME Demand'!C7, IF(M34="July - Upper", 'LME Demand'!D7, IF(M34="July - Average", 'LME Demand'!E7, IF(M34="July - Lower", 'LME Demand'!F7, IF(M34="December - Max", 'LME Demand'!I7, IF(M34="December - Upper", 'LME Demand'!J7, IF(M34="December - Average", 'LME Demand'!K7, IF(M34="December - Lower", 'LME Demand'!L7))))))))</f>
        <v>11331.75</v>
      </c>
      <c r="O35" s="2" t="s">
        <v>135</v>
      </c>
      <c r="P35" s="107"/>
    </row>
    <row r="36" spans="2:16" ht="16.05" customHeight="1" thickBot="1">
      <c r="B36" s="108"/>
      <c r="C36" s="229"/>
      <c r="D36" s="229"/>
      <c r="E36" s="229"/>
      <c r="F36" s="99" t="s">
        <v>1</v>
      </c>
      <c r="G36" s="85">
        <f>'Metric Coefficients'!J10*'Metric Coefficients'!E32+'Metric Coefficients'!J11*'Metric Coefficients'!E33+'Metric Coefficients'!J12*'Metric Coefficients'!E34</f>
        <v>9.4568190699491979</v>
      </c>
      <c r="H36" s="1">
        <f>H30</f>
        <v>10</v>
      </c>
      <c r="I36" s="229"/>
      <c r="J36" s="100" t="s">
        <v>131</v>
      </c>
      <c r="K36" s="135">
        <v>0.503</v>
      </c>
      <c r="L36" s="229"/>
      <c r="M36" s="229"/>
      <c r="N36" s="229"/>
      <c r="O36" s="229"/>
      <c r="P36" s="107"/>
    </row>
    <row r="37" spans="2:16" ht="16.05" customHeight="1" thickBot="1">
      <c r="B37" s="108"/>
      <c r="C37" s="229"/>
      <c r="D37" s="229"/>
      <c r="E37" s="229"/>
      <c r="F37" s="99" t="s">
        <v>3</v>
      </c>
      <c r="G37" s="85">
        <f>'Metric Coefficients'!J13*'Metric Coefficients'!E35+'Metric Coefficients'!J14*'Metric Coefficients'!E36+'Metric Coefficients'!J15*'Metric Coefficients'!E37+'Metric Coefficients'!J16*'Metric Coefficients'!E38</f>
        <v>10</v>
      </c>
      <c r="H37" s="1">
        <f>H31</f>
        <v>10</v>
      </c>
      <c r="I37" s="229"/>
      <c r="J37" s="229"/>
      <c r="K37" s="229"/>
      <c r="L37" s="229"/>
      <c r="M37" s="229"/>
      <c r="N37" s="229"/>
      <c r="O37" s="229"/>
      <c r="P37" s="107"/>
    </row>
    <row r="38" spans="2:16" ht="16.05" customHeight="1" thickBot="1">
      <c r="B38" s="108"/>
      <c r="C38" s="229"/>
      <c r="D38" s="229"/>
      <c r="E38" s="229"/>
      <c r="F38" s="100" t="s">
        <v>30</v>
      </c>
      <c r="G38" s="86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8</v>
      </c>
      <c r="H38" s="2">
        <f>H32</f>
        <v>10</v>
      </c>
      <c r="I38" s="229"/>
      <c r="J38" s="101" t="s">
        <v>136</v>
      </c>
      <c r="K38" s="102">
        <v>0.75</v>
      </c>
      <c r="L38" s="229"/>
      <c r="M38" s="229"/>
      <c r="N38" s="229"/>
      <c r="O38" s="233"/>
      <c r="P38" s="107"/>
    </row>
    <row r="39" spans="2:16" ht="16.05" customHeight="1">
      <c r="B39" s="108"/>
      <c r="C39" s="229"/>
      <c r="D39" s="229"/>
      <c r="E39" s="229"/>
      <c r="F39" s="229"/>
      <c r="G39" s="229"/>
      <c r="H39" s="229"/>
      <c r="I39" s="229"/>
      <c r="J39" s="99" t="s">
        <v>137</v>
      </c>
      <c r="K39" s="84">
        <v>0.875</v>
      </c>
      <c r="L39" s="233"/>
      <c r="M39" s="229"/>
      <c r="N39" s="229"/>
      <c r="O39" s="229"/>
      <c r="P39" s="107"/>
    </row>
    <row r="40" spans="2:16" ht="16.05" customHeight="1">
      <c r="B40" s="108"/>
      <c r="C40" s="229"/>
      <c r="D40" s="229"/>
      <c r="E40" s="229"/>
      <c r="F40" s="229"/>
      <c r="G40" s="229"/>
      <c r="H40" s="229"/>
      <c r="I40" s="229"/>
      <c r="J40" s="99" t="s">
        <v>138</v>
      </c>
      <c r="K40" s="138">
        <f>ROUND((K39-K38)*24, 2)</f>
        <v>3</v>
      </c>
      <c r="L40" s="233"/>
      <c r="M40" s="231"/>
      <c r="N40" s="232"/>
      <c r="O40" s="233"/>
      <c r="P40" s="107"/>
    </row>
    <row r="41" spans="2:16" ht="16.05" customHeight="1" thickBot="1">
      <c r="B41" s="108"/>
      <c r="C41" s="229"/>
      <c r="D41" s="229"/>
      <c r="E41" s="229"/>
      <c r="F41" s="229"/>
      <c r="G41" s="229"/>
      <c r="H41" s="229"/>
      <c r="I41" s="229"/>
      <c r="J41" s="100" t="s">
        <v>185</v>
      </c>
      <c r="K41" s="137">
        <v>30</v>
      </c>
      <c r="L41" s="233"/>
      <c r="M41" s="233"/>
      <c r="N41" s="233"/>
      <c r="O41" s="233"/>
      <c r="P41" s="107"/>
    </row>
    <row r="42" spans="2:16" ht="16.05" customHeight="1">
      <c r="B42" s="108"/>
      <c r="C42" s="229"/>
      <c r="D42" s="229"/>
      <c r="E42" s="229"/>
      <c r="F42" s="229"/>
      <c r="G42" s="229"/>
      <c r="H42" s="229"/>
      <c r="I42" s="229"/>
      <c r="J42" s="231"/>
      <c r="K42" s="232"/>
      <c r="L42" s="233"/>
      <c r="M42" s="233"/>
      <c r="N42" s="233"/>
      <c r="O42" s="233"/>
      <c r="P42" s="107"/>
    </row>
    <row r="43" spans="2:16" ht="16.05" customHeight="1">
      <c r="B43" s="108"/>
      <c r="C43" s="229"/>
      <c r="D43" s="229"/>
      <c r="E43" s="229"/>
      <c r="F43" s="229"/>
      <c r="G43" s="229"/>
      <c r="H43" s="229"/>
      <c r="I43" s="229"/>
      <c r="J43" s="231"/>
      <c r="K43" s="232"/>
      <c r="L43" s="233"/>
      <c r="M43" s="233"/>
      <c r="N43" s="233"/>
      <c r="O43" s="233"/>
      <c r="P43" s="107"/>
    </row>
    <row r="44" spans="2:16" ht="16.05" customHeight="1">
      <c r="B44" s="108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107"/>
    </row>
    <row r="45" spans="2:16" ht="19.95" customHeight="1" thickBot="1">
      <c r="B45" s="108"/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107"/>
    </row>
    <row r="46" spans="2:16" ht="19.95" customHeight="1">
      <c r="B46" s="108"/>
      <c r="C46" s="125" t="s">
        <v>170</v>
      </c>
      <c r="D46" s="126" t="s">
        <v>33</v>
      </c>
      <c r="E46" s="236"/>
      <c r="F46" s="125" t="s">
        <v>171</v>
      </c>
      <c r="G46" s="126" t="s">
        <v>33</v>
      </c>
      <c r="H46" s="229"/>
      <c r="I46" s="229"/>
      <c r="J46" s="229"/>
      <c r="K46" s="229"/>
      <c r="L46" s="229"/>
      <c r="M46" s="229"/>
      <c r="N46" s="229"/>
      <c r="O46" s="229"/>
      <c r="P46" s="107"/>
    </row>
    <row r="47" spans="2:16" ht="19.95" customHeight="1">
      <c r="B47" s="108"/>
      <c r="C47" s="127" t="s">
        <v>51</v>
      </c>
      <c r="D47" s="128">
        <f>(G29*D29)+(G30*D30)+(G31*D31)+(G32*D32)</f>
        <v>45.073118095486208</v>
      </c>
      <c r="E47" s="236"/>
      <c r="F47" s="127" t="s">
        <v>139</v>
      </c>
      <c r="G47" s="128" t="e">
        <f>IF(#REF!="CF",D47*#REF!*#REF!*#REF!,"NaN")</f>
        <v>#REF!</v>
      </c>
      <c r="H47" s="229"/>
      <c r="I47" s="229"/>
      <c r="J47" s="229"/>
      <c r="K47" s="229"/>
      <c r="L47" s="229"/>
      <c r="M47" s="229"/>
      <c r="N47" s="229"/>
      <c r="O47" s="229"/>
      <c r="P47" s="107"/>
    </row>
    <row r="48" spans="2:16" ht="19.95" customHeight="1" thickBot="1">
      <c r="B48" s="108"/>
      <c r="C48" s="129" t="s">
        <v>52</v>
      </c>
      <c r="D48" s="130">
        <f>(G35*D29)+(G36*D30)+(G37*D31)+(G38*D32)</f>
        <v>62.033118095486202</v>
      </c>
      <c r="E48" s="236"/>
      <c r="F48" s="129" t="s">
        <v>140</v>
      </c>
      <c r="G48" s="130" t="e">
        <f>IF(#REF!="CF", D48*#REF!*#REF!*#REF!, "NaN")</f>
        <v>#REF!</v>
      </c>
      <c r="H48" s="229"/>
      <c r="I48" s="229"/>
      <c r="J48" s="229"/>
      <c r="K48" s="229"/>
      <c r="L48" s="229"/>
      <c r="M48" s="229"/>
      <c r="N48" s="229"/>
      <c r="O48" s="229"/>
      <c r="P48" s="107"/>
    </row>
    <row r="49" spans="2:16" ht="19.95" customHeight="1" thickBot="1">
      <c r="B49" s="103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5"/>
    </row>
    <row r="50" spans="2:16" ht="16.05" customHeight="1">
      <c r="B50" s="230"/>
      <c r="C50" s="230"/>
      <c r="D50" s="230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230"/>
    </row>
    <row r="51" spans="2:16" ht="16.05" customHeight="1">
      <c r="B51" s="230"/>
      <c r="C51" s="230"/>
      <c r="D51" s="230"/>
      <c r="E51" s="230"/>
      <c r="F51" s="230"/>
      <c r="G51" s="230"/>
      <c r="H51" s="230"/>
      <c r="I51" s="230"/>
      <c r="J51" s="230"/>
      <c r="K51" s="230"/>
      <c r="L51" s="230"/>
      <c r="M51" s="230"/>
      <c r="N51" s="230"/>
      <c r="O51" s="230"/>
      <c r="P51" s="230"/>
    </row>
    <row r="52" spans="2:16" ht="16.05" customHeight="1">
      <c r="B52" s="230"/>
      <c r="C52" s="230"/>
      <c r="D52" s="230"/>
      <c r="E52" s="230"/>
      <c r="F52" s="230"/>
      <c r="G52" s="230"/>
      <c r="H52" s="230"/>
      <c r="I52" s="230"/>
      <c r="J52" s="230"/>
      <c r="K52" s="230"/>
      <c r="L52" s="230"/>
      <c r="M52" s="230"/>
      <c r="N52" s="230"/>
      <c r="O52" s="230"/>
      <c r="P52" s="230"/>
    </row>
    <row r="53" spans="2:16" ht="16.05" customHeight="1">
      <c r="B53" s="230"/>
      <c r="C53" s="230"/>
      <c r="D53" s="230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</row>
    <row r="54" spans="2:16" ht="16.05" customHeight="1">
      <c r="B54" s="230"/>
      <c r="C54" s="230"/>
      <c r="D54" s="230"/>
      <c r="E54" s="230"/>
      <c r="F54" s="230"/>
      <c r="G54" s="230"/>
      <c r="H54" s="230"/>
      <c r="I54" s="230"/>
      <c r="J54" s="230"/>
      <c r="K54" s="230"/>
      <c r="L54" s="230"/>
      <c r="M54" s="230"/>
      <c r="N54" s="230"/>
      <c r="O54" s="230"/>
      <c r="P54" s="230"/>
    </row>
    <row r="55" spans="2:16" ht="16.05" customHeight="1">
      <c r="B55" s="230"/>
      <c r="C55" s="230"/>
      <c r="D55" s="230"/>
      <c r="E55" s="230"/>
      <c r="F55" s="230"/>
      <c r="G55" s="230"/>
      <c r="H55" s="230"/>
      <c r="I55" s="230"/>
      <c r="J55" s="230"/>
      <c r="K55" s="230"/>
      <c r="L55" s="230"/>
      <c r="M55" s="230"/>
      <c r="N55" s="230"/>
      <c r="O55" s="230"/>
      <c r="P55" s="230"/>
    </row>
    <row r="56" spans="2:16" ht="16.05" customHeight="1">
      <c r="B56" s="230"/>
      <c r="C56" s="230"/>
      <c r="D56" s="230"/>
      <c r="E56" s="230"/>
      <c r="F56" s="230"/>
      <c r="G56" s="230"/>
      <c r="H56" s="230"/>
      <c r="I56" s="230"/>
      <c r="J56" s="230"/>
      <c r="K56" s="230"/>
      <c r="L56" s="230"/>
      <c r="M56" s="230"/>
      <c r="N56" s="230"/>
      <c r="O56" s="230"/>
      <c r="P56" s="230"/>
    </row>
    <row r="57" spans="2:16" ht="16.05" customHeight="1">
      <c r="B57" s="230"/>
      <c r="C57" s="230"/>
      <c r="D57" s="230"/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0"/>
      <c r="P57" s="230"/>
    </row>
    <row r="58" spans="2:16">
      <c r="B58" s="230"/>
      <c r="C58" s="230"/>
      <c r="D58" s="230"/>
      <c r="E58" s="230"/>
      <c r="F58" s="230"/>
      <c r="G58" s="230"/>
      <c r="H58" s="230"/>
      <c r="I58" s="230"/>
      <c r="J58" s="230"/>
      <c r="K58" s="230"/>
      <c r="L58" s="230"/>
      <c r="M58" s="230"/>
      <c r="N58" s="230"/>
      <c r="O58" s="230"/>
      <c r="P58" s="230"/>
    </row>
    <row r="59" spans="2:16">
      <c r="B59" s="230"/>
      <c r="C59" s="230"/>
      <c r="D59" s="230"/>
      <c r="E59" s="230"/>
      <c r="F59" s="230"/>
      <c r="G59" s="230"/>
      <c r="H59" s="230"/>
      <c r="I59" s="230"/>
      <c r="J59" s="230"/>
      <c r="K59" s="230"/>
      <c r="L59" s="230"/>
      <c r="M59" s="230"/>
      <c r="N59" s="230"/>
      <c r="O59" s="230"/>
      <c r="P59" s="230"/>
    </row>
    <row r="60" spans="2:16">
      <c r="B60" s="230"/>
      <c r="C60" s="230"/>
      <c r="D60" s="230"/>
      <c r="E60" s="230"/>
      <c r="F60" s="230"/>
      <c r="G60" s="230"/>
      <c r="H60" s="230"/>
      <c r="I60" s="230"/>
      <c r="J60" s="230"/>
      <c r="K60" s="230"/>
      <c r="L60" s="230"/>
      <c r="M60" s="230"/>
      <c r="N60" s="230"/>
      <c r="O60" s="230"/>
      <c r="P60" s="230"/>
    </row>
  </sheetData>
  <mergeCells count="15">
    <mergeCell ref="J30:K30"/>
    <mergeCell ref="M34:O34"/>
    <mergeCell ref="J33:K33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19" priority="20">
      <formula>$G$30&gt;10</formula>
    </cfRule>
  </conditionalFormatting>
  <conditionalFormatting sqref="G30">
    <cfRule type="expression" dxfId="18" priority="19">
      <formula>$G$30&gt;10</formula>
    </cfRule>
  </conditionalFormatting>
  <conditionalFormatting sqref="G31">
    <cfRule type="expression" dxfId="17" priority="18">
      <formula>$G$31&gt;10</formula>
    </cfRule>
  </conditionalFormatting>
  <conditionalFormatting sqref="G32">
    <cfRule type="expression" dxfId="16" priority="17">
      <formula>$G$32&gt;10</formula>
    </cfRule>
  </conditionalFormatting>
  <conditionalFormatting sqref="G35">
    <cfRule type="expression" dxfId="15" priority="16">
      <formula>$G$35&gt;10</formula>
    </cfRule>
  </conditionalFormatting>
  <conditionalFormatting sqref="G36">
    <cfRule type="expression" dxfId="14" priority="15">
      <formula>$G$36&gt;10</formula>
    </cfRule>
  </conditionalFormatting>
  <conditionalFormatting sqref="G37">
    <cfRule type="expression" dxfId="13" priority="14">
      <formula>$G$37&gt;10</formula>
    </cfRule>
  </conditionalFormatting>
  <conditionalFormatting sqref="G38">
    <cfRule type="expression" dxfId="12" priority="13">
      <formula>$G$38&gt;10</formula>
    </cfRule>
  </conditionalFormatting>
  <conditionalFormatting sqref="D47">
    <cfRule type="expression" dxfId="11" priority="12">
      <formula>$D$47&gt;100</formula>
    </cfRule>
  </conditionalFormatting>
  <conditionalFormatting sqref="D48">
    <cfRule type="expression" dxfId="10" priority="11">
      <formula>$D$48&gt;100</formula>
    </cfRule>
  </conditionalFormatting>
  <conditionalFormatting sqref="G47">
    <cfRule type="expression" dxfId="9" priority="10">
      <formula>AND($G$47&gt;100, $G$47 &lt;&gt;"NaN")</formula>
    </cfRule>
  </conditionalFormatting>
  <conditionalFormatting sqref="G48">
    <cfRule type="expression" dxfId="8" priority="9">
      <formula>AND($G$48&gt;100, $G$48&lt;&gt;"NaN")</formula>
    </cfRule>
  </conditionalFormatting>
  <conditionalFormatting sqref="H29">
    <cfRule type="expression" dxfId="7" priority="8">
      <formula>$H$29&lt;&gt;10</formula>
    </cfRule>
  </conditionalFormatting>
  <conditionalFormatting sqref="H30">
    <cfRule type="expression" dxfId="6" priority="7">
      <formula>$H$30&lt;&gt;10</formula>
    </cfRule>
  </conditionalFormatting>
  <conditionalFormatting sqref="H31">
    <cfRule type="expression" dxfId="5" priority="6">
      <formula>$H$31&lt;&gt;10</formula>
    </cfRule>
  </conditionalFormatting>
  <conditionalFormatting sqref="H32">
    <cfRule type="expression" dxfId="4" priority="5">
      <formula>$H$32&lt;&gt;10</formula>
    </cfRule>
  </conditionalFormatting>
  <conditionalFormatting sqref="H35">
    <cfRule type="expression" dxfId="3" priority="4">
      <formula>$H$35&lt;&gt;10</formula>
    </cfRule>
  </conditionalFormatting>
  <conditionalFormatting sqref="H36">
    <cfRule type="expression" dxfId="2" priority="3">
      <formula>$H$36&lt;&gt;10</formula>
    </cfRule>
  </conditionalFormatting>
  <conditionalFormatting sqref="H37">
    <cfRule type="expression" dxfId="1" priority="2">
      <formula>$H$37&lt;&gt;10</formula>
    </cfRule>
  </conditionalFormatting>
  <conditionalFormatting sqref="H38">
    <cfRule type="expression" dxfId="0" priority="1">
      <formula>$H$38&lt;&gt;10</formula>
    </cfRule>
  </conditionalFormatting>
  <dataValidations count="3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7:C48" xr:uid="{C846317D-C889-4B38-9CCE-820103E2026F}"/>
    <dataValidation type="list" allowBlank="1" showInputMessage="1" showErrorMessage="1" sqref="M34:O34" xr:uid="{67A71052-5739-402C-ADA9-0D9294D43EE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30480</xdr:colOff>
                    <xdr:row>27</xdr:row>
                    <xdr:rowOff>76200</xdr:rowOff>
                  </from>
                  <to>
                    <xdr:col>10</xdr:col>
                    <xdr:colOff>533400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53</xdr:row>
                    <xdr:rowOff>83820</xdr:rowOff>
                  </from>
                  <to>
                    <xdr:col>10</xdr:col>
                    <xdr:colOff>701040</xdr:colOff>
                    <xdr:row>56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60" t="s">
        <v>14</v>
      </c>
      <c r="D3" s="161"/>
      <c r="E3" s="162"/>
      <c r="F3" s="5"/>
      <c r="H3" s="5"/>
      <c r="I3" s="160" t="s">
        <v>14</v>
      </c>
      <c r="J3" s="161"/>
      <c r="K3" s="162"/>
      <c r="L3" s="5"/>
      <c r="N3" s="5"/>
      <c r="O3" s="160" t="s">
        <v>14</v>
      </c>
      <c r="P3" s="161"/>
      <c r="Q3" s="162"/>
      <c r="R3" s="5"/>
    </row>
    <row r="4" spans="2:18" ht="15" thickBot="1">
      <c r="B4" s="5"/>
      <c r="C4" s="160" t="s">
        <v>66</v>
      </c>
      <c r="D4" s="161"/>
      <c r="E4" s="162"/>
      <c r="F4" s="5"/>
      <c r="H4" s="5"/>
      <c r="I4" s="160" t="s">
        <v>65</v>
      </c>
      <c r="J4" s="161"/>
      <c r="K4" s="162"/>
      <c r="L4" s="5"/>
      <c r="N4" s="5"/>
      <c r="O4" s="160" t="s">
        <v>75</v>
      </c>
      <c r="P4" s="161"/>
      <c r="Q4" s="162"/>
      <c r="R4" s="5"/>
    </row>
    <row r="5" spans="2:18" ht="15" thickBot="1">
      <c r="B5" s="5"/>
      <c r="C5" s="163" t="s">
        <v>39</v>
      </c>
      <c r="D5" s="164"/>
      <c r="E5" s="165"/>
      <c r="F5" s="5"/>
      <c r="H5" s="5"/>
      <c r="I5" s="163" t="s">
        <v>39</v>
      </c>
      <c r="J5" s="164"/>
      <c r="K5" s="165"/>
      <c r="L5" s="5"/>
      <c r="N5" s="5"/>
      <c r="O5" s="163" t="s">
        <v>39</v>
      </c>
      <c r="P5" s="164"/>
      <c r="Q5" s="165"/>
      <c r="R5" s="5"/>
    </row>
    <row r="6" spans="2:18">
      <c r="B6" s="5"/>
      <c r="C6" s="166" t="s">
        <v>0</v>
      </c>
      <c r="D6" s="11" t="s">
        <v>43</v>
      </c>
      <c r="E6" s="6">
        <f>Lookup!G4+Lookup!G5</f>
        <v>4.95</v>
      </c>
      <c r="F6" s="5"/>
      <c r="H6" s="5"/>
      <c r="I6" s="166" t="s">
        <v>0</v>
      </c>
      <c r="J6" s="11" t="s">
        <v>43</v>
      </c>
      <c r="K6" s="6">
        <f>Lookup!G13</f>
        <v>0.45</v>
      </c>
      <c r="L6" s="5"/>
      <c r="N6" s="5"/>
      <c r="O6" s="166" t="s">
        <v>0</v>
      </c>
      <c r="P6" s="11" t="s">
        <v>43</v>
      </c>
      <c r="Q6" s="6">
        <f>Lookup!G20</f>
        <v>0.45</v>
      </c>
      <c r="R6" s="5"/>
    </row>
    <row r="7" spans="2:18">
      <c r="B7" s="5"/>
      <c r="C7" s="167"/>
      <c r="D7" s="3" t="s">
        <v>42</v>
      </c>
      <c r="E7" s="7">
        <f>((Lookup!G6*8.34*(Lookup!G7-Lookup!G8))/3412)/Lookup!G9</f>
        <v>1.7924970691676436</v>
      </c>
      <c r="F7" s="5"/>
      <c r="H7" s="5"/>
      <c r="I7" s="167"/>
      <c r="J7" s="3" t="s">
        <v>42</v>
      </c>
      <c r="K7" s="7">
        <f>(Lookup!G14*8.34*(Lookup!G15-Lookup!G16))/3412</f>
        <v>-1.143939038686987</v>
      </c>
      <c r="L7" s="5"/>
      <c r="N7" s="5"/>
      <c r="O7" s="167"/>
      <c r="P7" s="3" t="s">
        <v>42</v>
      </c>
      <c r="Q7" s="7">
        <f>(Lookup!G24-Lookup!G25)*Lookup!G28</f>
        <v>10986</v>
      </c>
      <c r="R7" s="5"/>
    </row>
    <row r="8" spans="2:18" ht="15" thickBot="1">
      <c r="B8" s="5"/>
      <c r="C8" s="168"/>
      <c r="D8" s="12" t="s">
        <v>41</v>
      </c>
      <c r="E8" s="9">
        <f>('Input Calculations'!E7/'Input Calculations'!E6)*60</f>
        <v>21.727237202032043</v>
      </c>
      <c r="F8" s="5"/>
      <c r="H8" s="5"/>
      <c r="I8" s="168"/>
      <c r="J8" s="12" t="s">
        <v>41</v>
      </c>
      <c r="K8" s="9">
        <f>('Input Calculations'!K7/'Input Calculations'!K6)*60</f>
        <v>-152.52520515826492</v>
      </c>
      <c r="L8" s="5"/>
      <c r="N8" s="5"/>
      <c r="O8" s="168"/>
      <c r="P8" s="12" t="s">
        <v>41</v>
      </c>
      <c r="Q8" s="9">
        <f>(Q7/Q6)*60</f>
        <v>1464800</v>
      </c>
      <c r="R8" s="5"/>
    </row>
    <row r="9" spans="2:18">
      <c r="B9" s="5"/>
      <c r="C9" s="166" t="s">
        <v>1</v>
      </c>
      <c r="D9" s="13" t="s">
        <v>2</v>
      </c>
      <c r="E9" s="6">
        <f>Lookup!G11</f>
        <v>30</v>
      </c>
      <c r="F9" s="5"/>
      <c r="H9" s="5"/>
      <c r="I9" s="166" t="s">
        <v>1</v>
      </c>
      <c r="J9" s="13" t="s">
        <v>2</v>
      </c>
      <c r="K9" s="6">
        <f>Lookup!G18</f>
        <v>3.45</v>
      </c>
      <c r="L9" s="5"/>
      <c r="N9" s="5"/>
      <c r="O9" s="166" t="s">
        <v>1</v>
      </c>
      <c r="P9" s="13" t="s">
        <v>2</v>
      </c>
      <c r="Q9" s="6">
        <f>Lookup!G26</f>
        <v>2</v>
      </c>
      <c r="R9" s="5"/>
    </row>
    <row r="10" spans="2:18">
      <c r="B10" s="5"/>
      <c r="C10" s="167"/>
      <c r="D10" s="3" t="s">
        <v>44</v>
      </c>
      <c r="E10" s="10">
        <f>E8*60</f>
        <v>1303.6342321219227</v>
      </c>
      <c r="F10" s="5"/>
      <c r="H10" s="5"/>
      <c r="I10" s="167"/>
      <c r="J10" s="3" t="s">
        <v>44</v>
      </c>
      <c r="K10" s="10">
        <f>K8*60</f>
        <v>-9151.5123094958963</v>
      </c>
      <c r="L10" s="5"/>
      <c r="N10" s="5"/>
      <c r="O10" s="167"/>
      <c r="P10" s="3" t="s">
        <v>44</v>
      </c>
      <c r="Q10" s="10">
        <f>MAX((Q7/Lookup!G21),(Q7/Lookup!G22))*3600</f>
        <v>8788800</v>
      </c>
      <c r="R10" s="5"/>
    </row>
    <row r="11" spans="2:18" ht="15" thickBot="1">
      <c r="B11" s="5"/>
      <c r="C11" s="168"/>
      <c r="D11" s="14" t="s">
        <v>40</v>
      </c>
      <c r="E11" s="8">
        <f>Lookup!G12</f>
        <v>120</v>
      </c>
      <c r="F11" s="5"/>
      <c r="H11" s="5"/>
      <c r="I11" s="168"/>
      <c r="J11" s="14" t="s">
        <v>40</v>
      </c>
      <c r="K11" s="8">
        <f>Lookup!G19</f>
        <v>2</v>
      </c>
      <c r="L11" s="5"/>
      <c r="N11" s="5"/>
      <c r="O11" s="168"/>
      <c r="P11" s="14" t="s">
        <v>40</v>
      </c>
      <c r="Q11" s="8">
        <f>Lookup!G27</f>
        <v>30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60" t="s">
        <v>14</v>
      </c>
      <c r="D15" s="161"/>
      <c r="E15" s="162"/>
      <c r="F15" s="5"/>
      <c r="H15" s="5"/>
      <c r="I15" s="160" t="s">
        <v>14</v>
      </c>
      <c r="J15" s="161"/>
      <c r="K15" s="162"/>
      <c r="L15" s="5"/>
      <c r="N15" s="5"/>
      <c r="O15" s="160" t="s">
        <v>14</v>
      </c>
      <c r="P15" s="161"/>
      <c r="Q15" s="162"/>
      <c r="R15" s="5"/>
    </row>
    <row r="16" spans="2:18" ht="15" thickBot="1">
      <c r="B16" s="5"/>
      <c r="C16" s="160" t="s">
        <v>76</v>
      </c>
      <c r="D16" s="161"/>
      <c r="E16" s="162"/>
      <c r="F16" s="5"/>
      <c r="H16" s="5"/>
      <c r="I16" s="160" t="s">
        <v>86</v>
      </c>
      <c r="J16" s="161"/>
      <c r="K16" s="162"/>
      <c r="L16" s="5"/>
      <c r="N16" s="5"/>
      <c r="O16" s="160" t="s">
        <v>173</v>
      </c>
      <c r="P16" s="161"/>
      <c r="Q16" s="162"/>
      <c r="R16" s="5"/>
    </row>
    <row r="17" spans="2:18" ht="15" thickBot="1">
      <c r="B17" s="5"/>
      <c r="C17" s="163" t="s">
        <v>39</v>
      </c>
      <c r="D17" s="164"/>
      <c r="E17" s="165"/>
      <c r="F17" s="5"/>
      <c r="H17" s="5"/>
      <c r="I17" s="163" t="s">
        <v>39</v>
      </c>
      <c r="J17" s="164"/>
      <c r="K17" s="165"/>
      <c r="L17" s="5"/>
      <c r="N17" s="5"/>
      <c r="O17" s="163" t="s">
        <v>39</v>
      </c>
      <c r="P17" s="164"/>
      <c r="Q17" s="165"/>
      <c r="R17" s="5"/>
    </row>
    <row r="18" spans="2:18">
      <c r="B18" s="5"/>
      <c r="C18" s="166" t="s">
        <v>0</v>
      </c>
      <c r="D18" s="11" t="s">
        <v>43</v>
      </c>
      <c r="E18" s="6">
        <f>Lookup!G29</f>
        <v>0.45</v>
      </c>
      <c r="F18" s="5"/>
      <c r="H18" s="5"/>
      <c r="I18" s="166" t="s">
        <v>0</v>
      </c>
      <c r="J18" s="11" t="s">
        <v>43</v>
      </c>
      <c r="K18" s="6">
        <f>Lookup!G35</f>
        <v>0.45</v>
      </c>
      <c r="L18" s="5"/>
      <c r="N18" s="5"/>
      <c r="O18" s="166" t="s">
        <v>0</v>
      </c>
      <c r="P18" s="11" t="s">
        <v>43</v>
      </c>
      <c r="Q18" s="6">
        <f>Lookup!G41</f>
        <v>0.45</v>
      </c>
      <c r="R18" s="5"/>
    </row>
    <row r="19" spans="2:18">
      <c r="B19" s="5"/>
      <c r="C19" s="167"/>
      <c r="D19" s="3" t="s">
        <v>42</v>
      </c>
      <c r="E19" s="7">
        <f>Lookup!G30*(Lookup!G31)*Lookup!G32</f>
        <v>31050</v>
      </c>
      <c r="F19" s="5"/>
      <c r="H19" s="5"/>
      <c r="I19" s="167"/>
      <c r="J19" s="3" t="s">
        <v>42</v>
      </c>
      <c r="K19" s="7">
        <f>Lookup!G36</f>
        <v>4.5</v>
      </c>
      <c r="L19" s="5"/>
      <c r="N19" s="5"/>
      <c r="O19" s="167"/>
      <c r="P19" s="3" t="s">
        <v>42</v>
      </c>
      <c r="Q19" s="7">
        <f>Lookup!G42*Lookup!G43</f>
        <v>207</v>
      </c>
      <c r="R19" s="5"/>
    </row>
    <row r="20" spans="2:18" ht="15" thickBot="1">
      <c r="B20" s="5"/>
      <c r="C20" s="168"/>
      <c r="D20" s="12" t="s">
        <v>41</v>
      </c>
      <c r="E20" s="9">
        <f>(E19/E18)*60</f>
        <v>4140000</v>
      </c>
      <c r="F20" s="5"/>
      <c r="H20" s="5"/>
      <c r="I20" s="168"/>
      <c r="J20" s="12" t="s">
        <v>41</v>
      </c>
      <c r="K20" s="9">
        <f>(K19/K18)*60</f>
        <v>600</v>
      </c>
      <c r="L20" s="5"/>
      <c r="N20" s="5"/>
      <c r="O20" s="168"/>
      <c r="P20" s="12" t="s">
        <v>41</v>
      </c>
      <c r="Q20" s="9">
        <f>Q19/Q18</f>
        <v>460</v>
      </c>
      <c r="R20" s="5"/>
    </row>
    <row r="21" spans="2:18">
      <c r="B21" s="5"/>
      <c r="C21" s="166" t="s">
        <v>1</v>
      </c>
      <c r="D21" s="13" t="s">
        <v>2</v>
      </c>
      <c r="E21" s="6">
        <f>Lookup!G33</f>
        <v>95</v>
      </c>
      <c r="F21" s="5"/>
      <c r="H21" s="5"/>
      <c r="I21" s="166" t="s">
        <v>1</v>
      </c>
      <c r="J21" s="13" t="s">
        <v>2</v>
      </c>
      <c r="K21" s="6">
        <f>Lookup!G39</f>
        <v>95</v>
      </c>
      <c r="L21" s="5"/>
      <c r="N21" s="5"/>
      <c r="O21" s="166" t="s">
        <v>1</v>
      </c>
      <c r="P21" s="13" t="s">
        <v>2</v>
      </c>
      <c r="Q21" s="6">
        <f>Lookup!G44</f>
        <v>150</v>
      </c>
      <c r="R21" s="5"/>
    </row>
    <row r="22" spans="2:18">
      <c r="B22" s="5"/>
      <c r="C22" s="167"/>
      <c r="D22" s="3" t="s">
        <v>44</v>
      </c>
      <c r="E22" s="10">
        <f>E20*60</f>
        <v>248400000</v>
      </c>
      <c r="F22" s="5"/>
      <c r="H22" s="5"/>
      <c r="I22" s="167"/>
      <c r="J22" s="3" t="s">
        <v>44</v>
      </c>
      <c r="K22" s="10">
        <f>K20*60</f>
        <v>36000</v>
      </c>
      <c r="L22" s="5"/>
      <c r="N22" s="5"/>
      <c r="O22" s="167"/>
      <c r="P22" s="3" t="s">
        <v>44</v>
      </c>
      <c r="Q22" s="10">
        <f>Q19/Lookup!G45</f>
        <v>2.1789473684210527</v>
      </c>
      <c r="R22" s="5"/>
    </row>
    <row r="23" spans="2:18" ht="15" thickBot="1">
      <c r="B23" s="5"/>
      <c r="C23" s="168"/>
      <c r="D23" s="14" t="s">
        <v>40</v>
      </c>
      <c r="E23" s="8">
        <f>Lookup!G34</f>
        <v>3.45</v>
      </c>
      <c r="F23" s="5"/>
      <c r="H23" s="5"/>
      <c r="I23" s="168"/>
      <c r="J23" s="14" t="s">
        <v>40</v>
      </c>
      <c r="K23" s="8">
        <f>Lookup!G40</f>
        <v>3.45</v>
      </c>
      <c r="L23" s="5"/>
      <c r="N23" s="5"/>
      <c r="O23" s="168"/>
      <c r="P23" s="14" t="s">
        <v>40</v>
      </c>
      <c r="Q23" s="8">
        <f>Lookup!G46</f>
        <v>3.45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I15:K15"/>
    <mergeCell ref="I16:K16"/>
    <mergeCell ref="I17:K17"/>
    <mergeCell ref="I18:I20"/>
    <mergeCell ref="I21:I23"/>
    <mergeCell ref="O3:Q3"/>
    <mergeCell ref="O4:Q4"/>
    <mergeCell ref="O5:Q5"/>
    <mergeCell ref="O6:O8"/>
    <mergeCell ref="O9:O11"/>
    <mergeCell ref="C15:E15"/>
    <mergeCell ref="C16:E16"/>
    <mergeCell ref="C17:E17"/>
    <mergeCell ref="C18:C20"/>
    <mergeCell ref="C21:C23"/>
    <mergeCell ref="I3:K3"/>
    <mergeCell ref="I4:K4"/>
    <mergeCell ref="I5:K5"/>
    <mergeCell ref="I6:I8"/>
    <mergeCell ref="I9:I11"/>
    <mergeCell ref="C3:E3"/>
    <mergeCell ref="C4:E4"/>
    <mergeCell ref="C5:E5"/>
    <mergeCell ref="C6:C8"/>
    <mergeCell ref="C9:C11"/>
    <mergeCell ref="O15:Q15"/>
    <mergeCell ref="O16:Q16"/>
    <mergeCell ref="O17:Q17"/>
    <mergeCell ref="O18:O20"/>
    <mergeCell ref="O21:O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89</v>
      </c>
      <c r="D3" t="s">
        <v>90</v>
      </c>
      <c r="E3" t="s">
        <v>91</v>
      </c>
      <c r="F3" s="18" t="s">
        <v>55</v>
      </c>
      <c r="G3" s="18" t="s">
        <v>127</v>
      </c>
      <c r="H3" s="15"/>
      <c r="I3" s="15"/>
      <c r="J3" s="15"/>
    </row>
    <row r="4" spans="3:10">
      <c r="C4" t="s">
        <v>117</v>
      </c>
      <c r="D4">
        <v>1</v>
      </c>
      <c r="E4" t="s">
        <v>92</v>
      </c>
      <c r="F4" s="18" t="s">
        <v>57</v>
      </c>
      <c r="G4" s="18">
        <f>Calculator!$K$9</f>
        <v>0.45</v>
      </c>
      <c r="H4" s="16"/>
      <c r="I4" s="16"/>
      <c r="J4" s="16"/>
    </row>
    <row r="5" spans="3:10">
      <c r="C5" t="s">
        <v>117</v>
      </c>
      <c r="D5">
        <v>2</v>
      </c>
      <c r="E5" t="s">
        <v>93</v>
      </c>
      <c r="F5" s="18" t="s">
        <v>58</v>
      </c>
      <c r="G5" s="18">
        <f>Calculator!$K$10</f>
        <v>4.5</v>
      </c>
      <c r="H5" s="16"/>
      <c r="I5" s="16"/>
      <c r="J5" s="16"/>
    </row>
    <row r="6" spans="3:10">
      <c r="C6" t="s">
        <v>117</v>
      </c>
      <c r="D6">
        <v>3</v>
      </c>
      <c r="E6" t="s">
        <v>94</v>
      </c>
      <c r="F6" s="18" t="s">
        <v>59</v>
      </c>
      <c r="G6" s="18">
        <f>Calculator!$K$11</f>
        <v>46</v>
      </c>
      <c r="H6" s="16"/>
      <c r="I6" s="16"/>
      <c r="J6" s="16"/>
    </row>
    <row r="7" spans="3:10">
      <c r="C7" t="s">
        <v>117</v>
      </c>
      <c r="D7">
        <v>4</v>
      </c>
      <c r="E7" t="s">
        <v>95</v>
      </c>
      <c r="F7" s="18" t="s">
        <v>60</v>
      </c>
      <c r="G7" s="18">
        <f>Calculator!$K$12</f>
        <v>150</v>
      </c>
      <c r="H7" s="16"/>
      <c r="I7" s="16"/>
      <c r="J7" s="16"/>
    </row>
    <row r="8" spans="3:10">
      <c r="C8" t="s">
        <v>117</v>
      </c>
      <c r="D8">
        <v>5</v>
      </c>
      <c r="E8" t="s">
        <v>96</v>
      </c>
      <c r="F8" s="18" t="s">
        <v>61</v>
      </c>
      <c r="G8" s="18">
        <f>Calculator!$K$13</f>
        <v>95</v>
      </c>
      <c r="H8" s="16"/>
      <c r="I8" s="16"/>
      <c r="J8" s="16"/>
    </row>
    <row r="9" spans="3:10">
      <c r="C9" t="s">
        <v>117</v>
      </c>
      <c r="D9">
        <v>6</v>
      </c>
      <c r="E9" t="s">
        <v>97</v>
      </c>
      <c r="F9" s="18" t="s">
        <v>62</v>
      </c>
      <c r="G9" s="18">
        <f>Calculator!$K$14</f>
        <v>3.45</v>
      </c>
      <c r="H9" s="16"/>
      <c r="I9" s="16"/>
      <c r="J9" s="16"/>
    </row>
    <row r="10" spans="3:10">
      <c r="C10" t="s">
        <v>117</v>
      </c>
      <c r="D10">
        <v>7</v>
      </c>
      <c r="E10" t="s">
        <v>98</v>
      </c>
      <c r="F10" s="18" t="s">
        <v>63</v>
      </c>
      <c r="G10" s="18">
        <f>Calculator!$K$15</f>
        <v>2</v>
      </c>
      <c r="H10" s="16"/>
    </row>
    <row r="11" spans="3:10">
      <c r="C11" t="s">
        <v>117</v>
      </c>
      <c r="D11">
        <v>8</v>
      </c>
      <c r="E11" t="s">
        <v>100</v>
      </c>
      <c r="F11" s="18" t="s">
        <v>2</v>
      </c>
      <c r="G11" s="18">
        <f>Calculator!$K$16</f>
        <v>30</v>
      </c>
      <c r="H11" s="16"/>
    </row>
    <row r="12" spans="3:10">
      <c r="C12" t="s">
        <v>117</v>
      </c>
      <c r="D12">
        <v>9</v>
      </c>
      <c r="E12" t="s">
        <v>101</v>
      </c>
      <c r="F12" s="18" t="s">
        <v>40</v>
      </c>
      <c r="G12" s="18">
        <f>Calculator!$K$17</f>
        <v>120</v>
      </c>
      <c r="H12" s="16"/>
    </row>
    <row r="13" spans="3:10">
      <c r="C13" t="s">
        <v>119</v>
      </c>
      <c r="D13">
        <v>1</v>
      </c>
      <c r="E13" t="s">
        <v>102</v>
      </c>
      <c r="F13" s="18" t="s">
        <v>64</v>
      </c>
      <c r="G13" s="18">
        <f>Calculator!$K$9</f>
        <v>0.45</v>
      </c>
      <c r="H13" s="16"/>
    </row>
    <row r="14" spans="3:10">
      <c r="C14" t="s">
        <v>119</v>
      </c>
      <c r="D14">
        <v>2</v>
      </c>
      <c r="E14" t="s">
        <v>94</v>
      </c>
      <c r="F14" s="18" t="s">
        <v>59</v>
      </c>
      <c r="G14" s="18">
        <f>Calculator!$K$10</f>
        <v>4.5</v>
      </c>
    </row>
    <row r="15" spans="3:10">
      <c r="C15" t="s">
        <v>119</v>
      </c>
      <c r="D15">
        <v>3</v>
      </c>
      <c r="E15" t="s">
        <v>103</v>
      </c>
      <c r="F15" s="18" t="s">
        <v>67</v>
      </c>
      <c r="G15" s="18">
        <f>Calculator!$K$11</f>
        <v>46</v>
      </c>
    </row>
    <row r="16" spans="3:10">
      <c r="C16" t="s">
        <v>119</v>
      </c>
      <c r="D16">
        <v>4</v>
      </c>
      <c r="E16" t="s">
        <v>104</v>
      </c>
      <c r="F16" s="18" t="s">
        <v>68</v>
      </c>
      <c r="G16" s="18">
        <f>Calculator!$K$12</f>
        <v>150</v>
      </c>
    </row>
    <row r="17" spans="3:7">
      <c r="C17" t="s">
        <v>119</v>
      </c>
      <c r="D17">
        <v>5</v>
      </c>
      <c r="E17" t="s">
        <v>98</v>
      </c>
      <c r="F17" s="18" t="s">
        <v>63</v>
      </c>
      <c r="G17" s="18">
        <f>Calculator!$K$13</f>
        <v>95</v>
      </c>
    </row>
    <row r="18" spans="3:7">
      <c r="C18" t="s">
        <v>119</v>
      </c>
      <c r="D18">
        <v>6</v>
      </c>
      <c r="E18" t="s">
        <v>100</v>
      </c>
      <c r="F18" s="18" t="s">
        <v>2</v>
      </c>
      <c r="G18" s="18">
        <f>Calculator!$K$14</f>
        <v>3.45</v>
      </c>
    </row>
    <row r="19" spans="3:7">
      <c r="C19" t="s">
        <v>119</v>
      </c>
      <c r="D19">
        <v>7</v>
      </c>
      <c r="E19" t="s">
        <v>101</v>
      </c>
      <c r="F19" s="18" t="s">
        <v>40</v>
      </c>
      <c r="G19" s="18">
        <f>Calculator!$K$15</f>
        <v>2</v>
      </c>
    </row>
    <row r="20" spans="3:7">
      <c r="C20" t="s">
        <v>56</v>
      </c>
      <c r="D20">
        <v>1</v>
      </c>
      <c r="E20" t="s">
        <v>105</v>
      </c>
      <c r="F20" t="s">
        <v>69</v>
      </c>
      <c r="G20" s="18">
        <f>Calculator!$K$9</f>
        <v>0.45</v>
      </c>
    </row>
    <row r="21" spans="3:7">
      <c r="C21" t="s">
        <v>56</v>
      </c>
      <c r="D21">
        <v>2</v>
      </c>
      <c r="E21" t="s">
        <v>98</v>
      </c>
      <c r="F21" t="s">
        <v>63</v>
      </c>
      <c r="G21" s="18">
        <f>Calculator!$K$10</f>
        <v>4.5</v>
      </c>
    </row>
    <row r="22" spans="3:7">
      <c r="C22" t="s">
        <v>56</v>
      </c>
      <c r="D22">
        <v>3</v>
      </c>
      <c r="E22" t="s">
        <v>99</v>
      </c>
      <c r="F22" t="s">
        <v>70</v>
      </c>
      <c r="G22" s="18">
        <f>Calculator!$K$11</f>
        <v>46</v>
      </c>
    </row>
    <row r="23" spans="3:7">
      <c r="C23" t="s">
        <v>56</v>
      </c>
      <c r="D23">
        <v>4</v>
      </c>
      <c r="E23" t="s">
        <v>106</v>
      </c>
      <c r="F23" t="s">
        <v>71</v>
      </c>
      <c r="G23" s="18">
        <f>Calculator!$K$12</f>
        <v>150</v>
      </c>
    </row>
    <row r="24" spans="3:7">
      <c r="C24" t="s">
        <v>56</v>
      </c>
      <c r="D24">
        <v>5</v>
      </c>
      <c r="E24" t="s">
        <v>107</v>
      </c>
      <c r="F24" t="s">
        <v>72</v>
      </c>
      <c r="G24" s="18">
        <f>Calculator!$K$13</f>
        <v>95</v>
      </c>
    </row>
    <row r="25" spans="3:7">
      <c r="C25" t="s">
        <v>56</v>
      </c>
      <c r="D25">
        <v>6</v>
      </c>
      <c r="E25" t="s">
        <v>108</v>
      </c>
      <c r="F25" t="s">
        <v>73</v>
      </c>
      <c r="G25" s="18">
        <f>Calculator!$K$14</f>
        <v>3.45</v>
      </c>
    </row>
    <row r="26" spans="3:7">
      <c r="C26" t="s">
        <v>56</v>
      </c>
      <c r="D26">
        <v>7</v>
      </c>
      <c r="E26" t="s">
        <v>100</v>
      </c>
      <c r="F26" t="s">
        <v>2</v>
      </c>
      <c r="G26" s="18">
        <f>Calculator!$K$15</f>
        <v>2</v>
      </c>
    </row>
    <row r="27" spans="3:7">
      <c r="C27" t="s">
        <v>56</v>
      </c>
      <c r="D27">
        <v>8</v>
      </c>
      <c r="E27" t="s">
        <v>101</v>
      </c>
      <c r="F27" t="s">
        <v>40</v>
      </c>
      <c r="G27" s="18">
        <f>Calculator!$K$16</f>
        <v>30</v>
      </c>
    </row>
    <row r="28" spans="3:7">
      <c r="C28" t="s">
        <v>56</v>
      </c>
      <c r="D28">
        <v>9</v>
      </c>
      <c r="E28" t="s">
        <v>169</v>
      </c>
      <c r="F28" s="16" t="s">
        <v>74</v>
      </c>
      <c r="G28" s="18">
        <f>Calculator!$K$17</f>
        <v>120</v>
      </c>
    </row>
    <row r="29" spans="3:7">
      <c r="C29" t="s">
        <v>120</v>
      </c>
      <c r="D29">
        <v>1</v>
      </c>
      <c r="E29" t="s">
        <v>109</v>
      </c>
      <c r="F29" t="s">
        <v>77</v>
      </c>
      <c r="G29" s="18">
        <f>Calculator!$K$9</f>
        <v>0.45</v>
      </c>
    </row>
    <row r="30" spans="3:7">
      <c r="C30" t="s">
        <v>120</v>
      </c>
      <c r="D30">
        <v>2</v>
      </c>
      <c r="E30" t="s">
        <v>110</v>
      </c>
      <c r="F30" t="s">
        <v>78</v>
      </c>
      <c r="G30" s="18">
        <f>Calculator!$K$10</f>
        <v>4.5</v>
      </c>
    </row>
    <row r="31" spans="3:7">
      <c r="C31" t="s">
        <v>120</v>
      </c>
      <c r="D31">
        <v>3</v>
      </c>
      <c r="E31" t="s">
        <v>111</v>
      </c>
      <c r="F31" t="s">
        <v>80</v>
      </c>
      <c r="G31" s="18">
        <f>Calculator!$K$11</f>
        <v>46</v>
      </c>
    </row>
    <row r="32" spans="3:7">
      <c r="C32" t="s">
        <v>120</v>
      </c>
      <c r="D32">
        <v>4</v>
      </c>
      <c r="E32" t="s">
        <v>112</v>
      </c>
      <c r="F32" t="s">
        <v>79</v>
      </c>
      <c r="G32" s="18">
        <f>Calculator!$K$12</f>
        <v>150</v>
      </c>
    </row>
    <row r="33" spans="3:7">
      <c r="C33" t="s">
        <v>120</v>
      </c>
      <c r="D33">
        <v>5</v>
      </c>
      <c r="E33" t="s">
        <v>100</v>
      </c>
      <c r="F33" t="s">
        <v>2</v>
      </c>
      <c r="G33" s="18">
        <f>Calculator!$K$13</f>
        <v>95</v>
      </c>
    </row>
    <row r="34" spans="3:7">
      <c r="C34" t="s">
        <v>120</v>
      </c>
      <c r="D34">
        <v>6</v>
      </c>
      <c r="E34" t="s">
        <v>101</v>
      </c>
      <c r="F34" t="s">
        <v>40</v>
      </c>
      <c r="G34" s="18">
        <f>Calculator!$K$14</f>
        <v>3.45</v>
      </c>
    </row>
    <row r="35" spans="3:7">
      <c r="C35" t="s">
        <v>81</v>
      </c>
      <c r="D35">
        <v>1</v>
      </c>
      <c r="E35" t="s">
        <v>113</v>
      </c>
      <c r="F35" s="18" t="s">
        <v>82</v>
      </c>
      <c r="G35" s="18">
        <f>Calculator!$K$9</f>
        <v>0.45</v>
      </c>
    </row>
    <row r="36" spans="3:7">
      <c r="C36" t="s">
        <v>81</v>
      </c>
      <c r="D36">
        <v>2</v>
      </c>
      <c r="E36" t="s">
        <v>114</v>
      </c>
      <c r="F36" s="18" t="s">
        <v>83</v>
      </c>
      <c r="G36" s="18">
        <f>Calculator!$K$10</f>
        <v>4.5</v>
      </c>
    </row>
    <row r="37" spans="3:7">
      <c r="C37" t="s">
        <v>81</v>
      </c>
      <c r="D37">
        <v>3</v>
      </c>
      <c r="E37" t="s">
        <v>115</v>
      </c>
      <c r="F37" s="18" t="s">
        <v>84</v>
      </c>
      <c r="G37" s="18">
        <f>Calculator!$K$11</f>
        <v>46</v>
      </c>
    </row>
    <row r="38" spans="3:7">
      <c r="C38" t="s">
        <v>81</v>
      </c>
      <c r="D38">
        <v>4</v>
      </c>
      <c r="E38" t="s">
        <v>116</v>
      </c>
      <c r="F38" s="18" t="s">
        <v>85</v>
      </c>
      <c r="G38" s="18">
        <f>Calculator!$K$12</f>
        <v>150</v>
      </c>
    </row>
    <row r="39" spans="3:7">
      <c r="C39" t="s">
        <v>81</v>
      </c>
      <c r="D39">
        <v>5</v>
      </c>
      <c r="E39" t="s">
        <v>100</v>
      </c>
      <c r="F39" s="18" t="s">
        <v>2</v>
      </c>
      <c r="G39" s="18">
        <f>Calculator!$K$13</f>
        <v>95</v>
      </c>
    </row>
    <row r="40" spans="3:7">
      <c r="C40" t="s">
        <v>81</v>
      </c>
      <c r="D40">
        <v>6</v>
      </c>
      <c r="E40" t="s">
        <v>101</v>
      </c>
      <c r="F40" s="18" t="s">
        <v>40</v>
      </c>
      <c r="G40" s="18">
        <f>Calculator!$K$14</f>
        <v>3.45</v>
      </c>
    </row>
    <row r="41" spans="3:7">
      <c r="C41" t="s">
        <v>174</v>
      </c>
      <c r="D41">
        <v>1</v>
      </c>
      <c r="E41" t="s">
        <v>113</v>
      </c>
      <c r="F41" s="18" t="s">
        <v>82</v>
      </c>
      <c r="G41" s="18">
        <f>Calculator!$K$9</f>
        <v>0.45</v>
      </c>
    </row>
    <row r="42" spans="3:7">
      <c r="C42" t="s">
        <v>174</v>
      </c>
      <c r="D42">
        <v>2</v>
      </c>
      <c r="E42" t="s">
        <v>180</v>
      </c>
      <c r="F42" s="18" t="s">
        <v>175</v>
      </c>
      <c r="G42" s="18">
        <f>Calculator!$K$10</f>
        <v>4.5</v>
      </c>
    </row>
    <row r="43" spans="3:7">
      <c r="C43" t="s">
        <v>174</v>
      </c>
      <c r="D43">
        <v>3</v>
      </c>
      <c r="E43" t="s">
        <v>181</v>
      </c>
      <c r="F43" s="18" t="s">
        <v>176</v>
      </c>
      <c r="G43" s="18">
        <f>Calculator!$K$11</f>
        <v>46</v>
      </c>
    </row>
    <row r="44" spans="3:7">
      <c r="C44" t="s">
        <v>174</v>
      </c>
      <c r="D44">
        <v>4</v>
      </c>
      <c r="E44" t="s">
        <v>182</v>
      </c>
      <c r="F44" s="18" t="s">
        <v>177</v>
      </c>
      <c r="G44" s="18">
        <f>Calculator!$K$12</f>
        <v>150</v>
      </c>
    </row>
    <row r="45" spans="3:7">
      <c r="C45" t="s">
        <v>174</v>
      </c>
      <c r="D45">
        <v>5</v>
      </c>
      <c r="E45" t="s">
        <v>183</v>
      </c>
      <c r="F45" s="18" t="s">
        <v>178</v>
      </c>
      <c r="G45" s="18">
        <f>Calculator!$K$13</f>
        <v>95</v>
      </c>
    </row>
    <row r="46" spans="3:7">
      <c r="C46" t="s">
        <v>174</v>
      </c>
      <c r="D46">
        <v>6</v>
      </c>
      <c r="E46" t="s">
        <v>184</v>
      </c>
      <c r="F46" s="18" t="s">
        <v>179</v>
      </c>
      <c r="G46" s="18">
        <f>Calculator!$K$14</f>
        <v>3.45</v>
      </c>
    </row>
    <row r="47" spans="3:7">
      <c r="C47" t="s">
        <v>121</v>
      </c>
      <c r="D47">
        <v>1</v>
      </c>
      <c r="E47" t="s">
        <v>122</v>
      </c>
      <c r="F47" s="18" t="s">
        <v>43</v>
      </c>
      <c r="G47" s="18">
        <f>Calculator!$K$9</f>
        <v>0.45</v>
      </c>
    </row>
    <row r="48" spans="3:7">
      <c r="C48" t="s">
        <v>121</v>
      </c>
      <c r="D48">
        <v>2</v>
      </c>
      <c r="E48" t="s">
        <v>123</v>
      </c>
      <c r="F48" s="18" t="s">
        <v>42</v>
      </c>
      <c r="G48" s="18">
        <f>Calculator!$K$10</f>
        <v>4.5</v>
      </c>
    </row>
    <row r="49" spans="3:7">
      <c r="C49" t="s">
        <v>121</v>
      </c>
      <c r="D49">
        <v>3</v>
      </c>
      <c r="E49" t="s">
        <v>124</v>
      </c>
      <c r="F49" s="18" t="s">
        <v>41</v>
      </c>
      <c r="G49" s="18">
        <f>Calculator!$K$11</f>
        <v>46</v>
      </c>
    </row>
    <row r="50" spans="3:7">
      <c r="C50" t="s">
        <v>121</v>
      </c>
      <c r="D50">
        <v>4</v>
      </c>
      <c r="E50" t="s">
        <v>125</v>
      </c>
      <c r="F50" s="18" t="s">
        <v>2</v>
      </c>
      <c r="G50" s="18">
        <f>Calculator!$K$12</f>
        <v>150</v>
      </c>
    </row>
    <row r="51" spans="3:7">
      <c r="C51" t="s">
        <v>121</v>
      </c>
      <c r="D51">
        <v>5</v>
      </c>
      <c r="E51" t="s">
        <v>126</v>
      </c>
      <c r="F51" s="18" t="s">
        <v>44</v>
      </c>
      <c r="G51" s="18">
        <f>Calculator!$K$13</f>
        <v>95</v>
      </c>
    </row>
    <row r="52" spans="3:7">
      <c r="C52" t="s">
        <v>121</v>
      </c>
      <c r="D52">
        <v>6</v>
      </c>
      <c r="E52" t="s">
        <v>101</v>
      </c>
      <c r="F52" s="18" t="s">
        <v>40</v>
      </c>
      <c r="G52" s="18">
        <f>Calculator!$K$14</f>
        <v>3.45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85" t="s">
        <v>167</v>
      </c>
      <c r="B1" s="186"/>
      <c r="C1" s="186"/>
      <c r="D1" s="186"/>
      <c r="E1" s="186"/>
      <c r="F1" s="186"/>
      <c r="G1" s="186"/>
      <c r="H1" s="186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87" t="s">
        <v>141</v>
      </c>
      <c r="C2" s="184"/>
      <c r="D2" s="170"/>
      <c r="F2" s="187" t="s">
        <v>141</v>
      </c>
      <c r="G2" s="184"/>
      <c r="H2" s="170"/>
      <c r="J2" s="188" t="s">
        <v>141</v>
      </c>
      <c r="K2" s="184"/>
      <c r="L2" s="170"/>
      <c r="N2" s="188" t="s">
        <v>141</v>
      </c>
      <c r="O2" s="184"/>
      <c r="P2" s="170"/>
      <c r="R2" s="189" t="s">
        <v>141</v>
      </c>
      <c r="S2" s="184"/>
      <c r="T2" s="170"/>
      <c r="V2" s="189" t="s">
        <v>141</v>
      </c>
      <c r="W2" s="184"/>
      <c r="X2" s="170"/>
      <c r="Y2" s="35"/>
      <c r="Z2" s="190" t="s">
        <v>141</v>
      </c>
      <c r="AA2" s="184"/>
      <c r="AB2" s="170"/>
      <c r="AD2" s="190" t="s">
        <v>141</v>
      </c>
      <c r="AE2" s="184"/>
      <c r="AF2" s="170"/>
      <c r="AG2" s="35"/>
      <c r="AH2" s="191" t="s">
        <v>141</v>
      </c>
      <c r="AI2" s="184"/>
      <c r="AJ2" s="170"/>
      <c r="AL2" s="191" t="s">
        <v>141</v>
      </c>
      <c r="AM2" s="184"/>
      <c r="AN2" s="170"/>
      <c r="AO2" s="35"/>
      <c r="AP2" s="192" t="s">
        <v>141</v>
      </c>
      <c r="AQ2" s="184"/>
      <c r="AR2" s="170"/>
      <c r="AT2" s="192" t="s">
        <v>141</v>
      </c>
      <c r="AU2" s="184"/>
      <c r="AV2" s="170"/>
      <c r="AX2" s="183" t="s">
        <v>141</v>
      </c>
      <c r="AY2" s="184"/>
      <c r="AZ2" s="170"/>
      <c r="BB2" s="183" t="s">
        <v>141</v>
      </c>
      <c r="BC2" s="184"/>
      <c r="BD2" s="170"/>
    </row>
    <row r="3" spans="1:56" ht="15" customHeight="1">
      <c r="B3" s="83" t="s">
        <v>161</v>
      </c>
      <c r="C3" s="180" t="s">
        <v>166</v>
      </c>
      <c r="D3" s="177"/>
      <c r="F3" s="83" t="s">
        <v>161</v>
      </c>
      <c r="G3" s="180" t="s">
        <v>166</v>
      </c>
      <c r="H3" s="177"/>
      <c r="J3" s="82" t="s">
        <v>161</v>
      </c>
      <c r="K3" s="180" t="s">
        <v>81</v>
      </c>
      <c r="L3" s="177"/>
      <c r="N3" s="82" t="s">
        <v>161</v>
      </c>
      <c r="O3" s="180" t="s">
        <v>81</v>
      </c>
      <c r="P3" s="177"/>
      <c r="R3" s="81" t="s">
        <v>161</v>
      </c>
      <c r="S3" s="182" t="s">
        <v>165</v>
      </c>
      <c r="T3" s="177"/>
      <c r="V3" s="81" t="s">
        <v>161</v>
      </c>
      <c r="W3" s="182" t="s">
        <v>165</v>
      </c>
      <c r="X3" s="177"/>
      <c r="Y3" s="78"/>
      <c r="Z3" s="80" t="s">
        <v>161</v>
      </c>
      <c r="AA3" s="182" t="s">
        <v>164</v>
      </c>
      <c r="AB3" s="177"/>
      <c r="AD3" s="80" t="s">
        <v>161</v>
      </c>
      <c r="AE3" s="182" t="s">
        <v>164</v>
      </c>
      <c r="AF3" s="177"/>
      <c r="AG3" s="78"/>
      <c r="AH3" s="79" t="s">
        <v>161</v>
      </c>
      <c r="AI3" s="182" t="s">
        <v>163</v>
      </c>
      <c r="AJ3" s="177"/>
      <c r="AL3" s="79" t="s">
        <v>161</v>
      </c>
      <c r="AM3" s="182" t="s">
        <v>163</v>
      </c>
      <c r="AN3" s="177"/>
      <c r="AO3" s="78"/>
      <c r="AP3" s="77" t="s">
        <v>161</v>
      </c>
      <c r="AQ3" s="182" t="s">
        <v>162</v>
      </c>
      <c r="AR3" s="177"/>
      <c r="AT3" s="77" t="s">
        <v>161</v>
      </c>
      <c r="AU3" s="182" t="s">
        <v>162</v>
      </c>
      <c r="AV3" s="177"/>
      <c r="AX3" s="76" t="s">
        <v>161</v>
      </c>
      <c r="AY3" s="182" t="s">
        <v>160</v>
      </c>
      <c r="AZ3" s="177"/>
      <c r="BB3" s="76" t="s">
        <v>161</v>
      </c>
      <c r="BC3" s="182" t="s">
        <v>160</v>
      </c>
      <c r="BD3" s="177"/>
    </row>
    <row r="4" spans="1:56" ht="15" customHeight="1">
      <c r="B4" s="75" t="s">
        <v>144</v>
      </c>
      <c r="C4" s="176">
        <f>[1]Calculator!N18</f>
        <v>0.75</v>
      </c>
      <c r="D4" s="177"/>
      <c r="F4" s="75" t="s">
        <v>144</v>
      </c>
      <c r="G4" s="176">
        <f>[1]Calculator!N18</f>
        <v>0.75</v>
      </c>
      <c r="H4" s="177"/>
      <c r="J4" s="74" t="s">
        <v>144</v>
      </c>
      <c r="K4" s="176">
        <f>[1]Calculator!N18</f>
        <v>0.75</v>
      </c>
      <c r="L4" s="177"/>
      <c r="N4" s="74" t="s">
        <v>144</v>
      </c>
      <c r="O4" s="179">
        <f>[1]Calculator!N18</f>
        <v>0.75</v>
      </c>
      <c r="P4" s="170"/>
      <c r="R4" s="73" t="s">
        <v>144</v>
      </c>
      <c r="S4" s="179">
        <f>[1]Calculator!N18</f>
        <v>0.75</v>
      </c>
      <c r="T4" s="170"/>
      <c r="V4" s="73" t="s">
        <v>144</v>
      </c>
      <c r="W4" s="179">
        <f>[1]Calculator!N18</f>
        <v>0.75</v>
      </c>
      <c r="X4" s="170"/>
      <c r="Y4" s="70"/>
      <c r="Z4" s="72" t="s">
        <v>144</v>
      </c>
      <c r="AA4" s="181">
        <f>[1]Calculator!N18</f>
        <v>0.75</v>
      </c>
      <c r="AB4" s="170"/>
      <c r="AD4" s="72" t="s">
        <v>144</v>
      </c>
      <c r="AE4" s="179">
        <f>[1]Calculator!N18</f>
        <v>0.75</v>
      </c>
      <c r="AF4" s="170"/>
      <c r="AG4" s="70"/>
      <c r="AH4" s="71" t="s">
        <v>144</v>
      </c>
      <c r="AI4" s="179">
        <f>[1]Calculator!N18</f>
        <v>0.75</v>
      </c>
      <c r="AJ4" s="170"/>
      <c r="AL4" s="71" t="s">
        <v>144</v>
      </c>
      <c r="AM4" s="179">
        <f>[1]Calculator!N18</f>
        <v>0.75</v>
      </c>
      <c r="AN4" s="170"/>
      <c r="AO4" s="70"/>
      <c r="AP4" s="69" t="s">
        <v>144</v>
      </c>
      <c r="AQ4" s="179">
        <f>[1]Calculator!N18</f>
        <v>0.75</v>
      </c>
      <c r="AR4" s="170"/>
      <c r="AT4" s="69" t="s">
        <v>144</v>
      </c>
      <c r="AU4" s="179">
        <f>[1]Calculator!N18</f>
        <v>0.75</v>
      </c>
      <c r="AV4" s="170"/>
      <c r="AX4" s="68" t="s">
        <v>144</v>
      </c>
      <c r="AY4" s="179">
        <f>[1]Calculator!N18</f>
        <v>0.75</v>
      </c>
      <c r="AZ4" s="170"/>
      <c r="BB4" s="68" t="s">
        <v>144</v>
      </c>
      <c r="BC4" s="179">
        <f>[1]Calculator!N18</f>
        <v>0.75</v>
      </c>
      <c r="BD4" s="170"/>
    </row>
    <row r="5" spans="1:56" ht="15" customHeight="1">
      <c r="B5" s="75" t="s">
        <v>145</v>
      </c>
      <c r="C5" s="176">
        <f>[1]Calculator!N19</f>
        <v>0.875</v>
      </c>
      <c r="D5" s="177"/>
      <c r="F5" s="75" t="s">
        <v>145</v>
      </c>
      <c r="G5" s="176">
        <f>[1]Calculator!N19</f>
        <v>0.875</v>
      </c>
      <c r="H5" s="177"/>
      <c r="J5" s="74" t="s">
        <v>145</v>
      </c>
      <c r="K5" s="176">
        <f>[1]Calculator!N19</f>
        <v>0.875</v>
      </c>
      <c r="L5" s="177"/>
      <c r="N5" s="74" t="s">
        <v>145</v>
      </c>
      <c r="O5" s="179">
        <f>[1]Calculator!N19</f>
        <v>0.875</v>
      </c>
      <c r="P5" s="170"/>
      <c r="R5" s="73" t="s">
        <v>145</v>
      </c>
      <c r="S5" s="179">
        <f>[1]Calculator!N19</f>
        <v>0.875</v>
      </c>
      <c r="T5" s="170"/>
      <c r="V5" s="73" t="s">
        <v>145</v>
      </c>
      <c r="W5" s="179">
        <f>[1]Calculator!N19</f>
        <v>0.875</v>
      </c>
      <c r="X5" s="170"/>
      <c r="Y5" s="70"/>
      <c r="Z5" s="72" t="s">
        <v>145</v>
      </c>
      <c r="AA5" s="179">
        <f>[1]Calculator!N19</f>
        <v>0.875</v>
      </c>
      <c r="AB5" s="170"/>
      <c r="AD5" s="72" t="s">
        <v>145</v>
      </c>
      <c r="AE5" s="179">
        <f>[1]Calculator!N19</f>
        <v>0.875</v>
      </c>
      <c r="AF5" s="170"/>
      <c r="AG5" s="70"/>
      <c r="AH5" s="71" t="s">
        <v>145</v>
      </c>
      <c r="AI5" s="179">
        <f>[1]Calculator!N19</f>
        <v>0.875</v>
      </c>
      <c r="AJ5" s="170"/>
      <c r="AL5" s="71" t="s">
        <v>145</v>
      </c>
      <c r="AM5" s="179">
        <f>[1]Calculator!N19</f>
        <v>0.875</v>
      </c>
      <c r="AN5" s="170"/>
      <c r="AO5" s="70"/>
      <c r="AP5" s="69" t="s">
        <v>145</v>
      </c>
      <c r="AQ5" s="179">
        <f>[1]Calculator!N19</f>
        <v>0.875</v>
      </c>
      <c r="AR5" s="170"/>
      <c r="AT5" s="69" t="s">
        <v>145</v>
      </c>
      <c r="AU5" s="179">
        <f>[1]Calculator!N19</f>
        <v>0.875</v>
      </c>
      <c r="AV5" s="170"/>
      <c r="AX5" s="68" t="s">
        <v>145</v>
      </c>
      <c r="AY5" s="179">
        <f>[1]Calculator!N19</f>
        <v>0.875</v>
      </c>
      <c r="AZ5" s="170"/>
      <c r="BB5" s="68" t="s">
        <v>145</v>
      </c>
      <c r="BC5" s="179">
        <f>[1]Calculator!N19</f>
        <v>0.875</v>
      </c>
      <c r="BD5" s="170"/>
    </row>
    <row r="6" spans="1:56" ht="20.25" customHeight="1">
      <c r="A6" s="59"/>
      <c r="B6" s="67" t="s">
        <v>159</v>
      </c>
      <c r="C6" s="178">
        <f t="array" ref="C6">AVERAGE(INDEX(D13:D108, MATCH(C4, C13:C108, 0)):INDEX(D13:D108, MATCH(C5, C13:C108, 0)))</f>
        <v>9.962226336615386E-2</v>
      </c>
      <c r="D6" s="170"/>
      <c r="E6" s="59"/>
      <c r="F6" s="67" t="s">
        <v>159</v>
      </c>
      <c r="G6" s="178">
        <f t="array" ref="G6">AVERAGE(INDEX(H13:H108, MATCH(G4, G13:G108, 0)):INDEX(H13:H108, MATCH(G5, G13:G108, 0)))</f>
        <v>7.2208377413076924E-2</v>
      </c>
      <c r="H6" s="170"/>
      <c r="I6" s="59"/>
      <c r="J6" s="66" t="s">
        <v>159</v>
      </c>
      <c r="K6" s="178">
        <f t="array" ref="K6">AVERAGE(INDEX(L13:L108, MATCH(K4, K13:K108, 0)):INDEX(L13:L108, MATCH(K5, K13:K108, 0)))</f>
        <v>4.1980958414615389E-2</v>
      </c>
      <c r="L6" s="170"/>
      <c r="M6" s="59"/>
      <c r="N6" s="66" t="s">
        <v>159</v>
      </c>
      <c r="O6" s="178">
        <f t="array" ref="O6">AVERAGE(INDEX(P13:P108, MATCH(O4, O13:O108, 0)):INDEX(P13:P108, MATCH(O5, O13:O108, 0)))</f>
        <v>3.4383318097692309E-2</v>
      </c>
      <c r="P6" s="170"/>
      <c r="Q6" s="59"/>
      <c r="R6" s="65" t="s">
        <v>159</v>
      </c>
      <c r="S6" s="178">
        <f t="array" ref="S6">AVERAGE(INDEX(T13:T108, MATCH(S4, S13:S108, 0)):INDEX(T13:T108, MATCH(S5, S13:S108, 0)))</f>
        <v>6.7804735769230767E-2</v>
      </c>
      <c r="T6" s="170"/>
      <c r="U6" s="59"/>
      <c r="V6" s="64" t="s">
        <v>159</v>
      </c>
      <c r="W6" s="178">
        <f t="array" ref="W6">AVERAGE(INDEX(X13:X108, MATCH(W4, W13:W108, 0)):INDEX(X13:X108, MATCH(W5, W13:W108, 0)))</f>
        <v>3.1979827461538456E-2</v>
      </c>
      <c r="X6" s="170"/>
      <c r="Y6" s="61"/>
      <c r="Z6" s="63" t="s">
        <v>159</v>
      </c>
      <c r="AA6" s="178">
        <f t="array" ref="AA6">AVERAGE(INDEX(AB13:AB108, MATCH(AA4, AA13:AA108, 0)):INDEX(AB13:AB108, MATCH(AA5, AA13:AA108, 0)))</f>
        <v>0.45153846153846161</v>
      </c>
      <c r="AB6" s="170"/>
      <c r="AC6" s="59"/>
      <c r="AD6" s="63" t="s">
        <v>159</v>
      </c>
      <c r="AE6" s="178">
        <f t="array" ref="AE6">AVERAGE(INDEX(AF13:AF108, MATCH(AE4, AE13:AE108, 0)):INDEX(AF13:AF108, MATCH(AE5, AE13:AE108, 0)))</f>
        <v>0.63065689230769217</v>
      </c>
      <c r="AF6" s="170"/>
      <c r="AG6" s="61"/>
      <c r="AH6" s="62" t="s">
        <v>159</v>
      </c>
      <c r="AI6" s="178">
        <f t="array" ref="AI6">AVERAGE(INDEX(AJ13:AJ108, MATCH(AI4, AI13:AI108, 0)):INDEX(AJ13:AJ108, MATCH(AI5, AI13:AI108, 0)))</f>
        <v>0.13076923076923078</v>
      </c>
      <c r="AJ6" s="170"/>
      <c r="AK6" s="59"/>
      <c r="AL6" s="62" t="s">
        <v>159</v>
      </c>
      <c r="AM6" s="178">
        <f t="array" ref="AM6">AVERAGE(INDEX(AN13:AN108, MATCH(AM4, AM13:AM108, 0)):INDEX(AN13:AN108, MATCH(AM5, AM13:AM108, 0)))</f>
        <v>6.1653339307692311E-2</v>
      </c>
      <c r="AN6" s="170"/>
      <c r="AO6" s="61"/>
      <c r="AP6" s="60" t="s">
        <v>159</v>
      </c>
      <c r="AQ6" s="178">
        <f t="array" ref="AQ6">AVERAGE(INDEX(AR13:AR108, MATCH(AQ4, AQ13:AQ108, 0)):INDEX(AR13:AR108, MATCH(AQ5, AQ13:AQ108, 0)))</f>
        <v>1.5656532692307691E-2</v>
      </c>
      <c r="AR6" s="170"/>
      <c r="AS6" s="59"/>
      <c r="AT6" s="60" t="s">
        <v>159</v>
      </c>
      <c r="AU6" s="178">
        <f t="array" ref="AU6">AVERAGE(INDEX(AV13:AV108, MATCH(AU4, AU13:AU108, 0)):INDEX(AV13:AV108, MATCH(AU5, AU13:AU108, 0)))</f>
        <v>1.2279359384615385E-2</v>
      </c>
      <c r="AV6" s="170"/>
      <c r="AW6" s="59"/>
      <c r="AX6" s="58" t="s">
        <v>159</v>
      </c>
      <c r="AY6" s="178">
        <f t="array" ref="AY6">AVERAGE(INDEX(AZ13:AZ108, MATCH(AY4, AY13:AY108, 0)):INDEX(AZ13:AZ108, MATCH(AY5, AY13:AY108, 0)))</f>
        <v>0.15609283784615388</v>
      </c>
      <c r="AZ6" s="170"/>
      <c r="BA6" s="59"/>
      <c r="BB6" s="58" t="s">
        <v>159</v>
      </c>
      <c r="BC6" s="178">
        <f t="array" ref="BC6">AVERAGE(INDEX(BD13:BD108, MATCH(BC4, BC13:BC108, 0)):INDEX(BD13:BD108, MATCH(BC5, BC13:BC108, 0)))</f>
        <v>0.13740088284615384</v>
      </c>
      <c r="BD6" s="170"/>
    </row>
    <row r="7" spans="1:56" ht="18">
      <c r="B7" s="57" t="s">
        <v>158</v>
      </c>
      <c r="C7" s="169">
        <f>ROUND((C5 - C4)*24, 2)</f>
        <v>3</v>
      </c>
      <c r="D7" s="170"/>
      <c r="E7" s="32"/>
      <c r="F7" s="57" t="s">
        <v>158</v>
      </c>
      <c r="G7" s="169">
        <f>ROUND((G5 - G4)*24, 2)</f>
        <v>3</v>
      </c>
      <c r="H7" s="170"/>
      <c r="J7" s="56" t="s">
        <v>158</v>
      </c>
      <c r="K7" s="169">
        <f>ROUND((K5 - K4)*24, 2)</f>
        <v>3</v>
      </c>
      <c r="L7" s="170"/>
      <c r="N7" s="56" t="s">
        <v>158</v>
      </c>
      <c r="O7" s="169">
        <f>ROUND((O5 - O4)*24, 2)</f>
        <v>3</v>
      </c>
      <c r="P7" s="170"/>
      <c r="R7" s="55" t="s">
        <v>158</v>
      </c>
      <c r="S7" s="169">
        <f>ROUND((S5 - S4)*24, 2)</f>
        <v>3</v>
      </c>
      <c r="T7" s="170"/>
      <c r="V7" s="55" t="s">
        <v>158</v>
      </c>
      <c r="W7" s="169">
        <f>ROUND((W5 - W4)*24, 2)</f>
        <v>3</v>
      </c>
      <c r="X7" s="170"/>
      <c r="Y7" s="52"/>
      <c r="Z7" s="54" t="s">
        <v>158</v>
      </c>
      <c r="AA7" s="169">
        <f>ROUND((AA5 - AA4)*24, 2)</f>
        <v>3</v>
      </c>
      <c r="AB7" s="170"/>
      <c r="AD7" s="54" t="s">
        <v>158</v>
      </c>
      <c r="AE7" s="169">
        <f>ROUND((AE5 - AE4)*24, 2)</f>
        <v>3</v>
      </c>
      <c r="AF7" s="170"/>
      <c r="AG7" s="52"/>
      <c r="AH7" s="53" t="s">
        <v>158</v>
      </c>
      <c r="AI7" s="169">
        <f>ROUND((AI5 - AI4)*24, 2)</f>
        <v>3</v>
      </c>
      <c r="AJ7" s="170"/>
      <c r="AL7" s="53" t="s">
        <v>158</v>
      </c>
      <c r="AM7" s="169">
        <f>ROUND((AM5 - AM4)*24, 2)</f>
        <v>3</v>
      </c>
      <c r="AN7" s="170"/>
      <c r="AO7" s="52"/>
      <c r="AP7" s="51" t="s">
        <v>158</v>
      </c>
      <c r="AQ7" s="169">
        <f>ROUND((AQ5 - AQ4)*24, 2)</f>
        <v>3</v>
      </c>
      <c r="AR7" s="170"/>
      <c r="AT7" s="51" t="s">
        <v>158</v>
      </c>
      <c r="AU7" s="169">
        <f>ROUND((AU5 - AU4)*24, 2)</f>
        <v>3</v>
      </c>
      <c r="AV7" s="170"/>
      <c r="AX7" s="50" t="s">
        <v>158</v>
      </c>
      <c r="AY7" s="169">
        <f>ROUND((AY5 - AY4)*24, 2)</f>
        <v>3</v>
      </c>
      <c r="AZ7" s="170"/>
      <c r="BB7" s="50" t="s">
        <v>158</v>
      </c>
      <c r="BC7" s="169">
        <f>ROUND((BC5 - BC4)*24, 2)</f>
        <v>3</v>
      </c>
      <c r="BD7" s="170"/>
    </row>
    <row r="8" spans="1:56" ht="18">
      <c r="B8" s="57" t="s">
        <v>157</v>
      </c>
      <c r="C8" s="171">
        <f>MAX(D13:D108)</f>
        <v>0.14348599500000001</v>
      </c>
      <c r="D8" s="170"/>
      <c r="E8" s="32"/>
      <c r="F8" s="57" t="s">
        <v>157</v>
      </c>
      <c r="G8" s="171">
        <f>MAX(H13:H108)</f>
        <v>0.1036868646</v>
      </c>
      <c r="H8" s="170"/>
      <c r="J8" s="56" t="s">
        <v>157</v>
      </c>
      <c r="K8" s="171">
        <f>MAX(L13:L108)</f>
        <v>6.2109357130000001E-2</v>
      </c>
      <c r="L8" s="170"/>
      <c r="N8" s="56" t="s">
        <v>157</v>
      </c>
      <c r="O8" s="171">
        <f>MAX(P13:P108)</f>
        <v>4.726112054E-2</v>
      </c>
      <c r="P8" s="170"/>
      <c r="R8" s="55" t="s">
        <v>157</v>
      </c>
      <c r="S8" s="171">
        <f>MAX(T13:T108)</f>
        <v>7.9190942E-2</v>
      </c>
      <c r="T8" s="170"/>
      <c r="V8" s="55" t="s">
        <v>157</v>
      </c>
      <c r="W8" s="171">
        <f>MAX(X13:X108)</f>
        <v>3.8002719999999997E-2</v>
      </c>
      <c r="X8" s="170"/>
      <c r="Y8" s="52"/>
      <c r="Z8" s="54" t="s">
        <v>157</v>
      </c>
      <c r="AA8" s="171">
        <f>MAX(AB13:AB108)</f>
        <v>0.51</v>
      </c>
      <c r="AB8" s="170"/>
      <c r="AD8" s="54" t="s">
        <v>157</v>
      </c>
      <c r="AE8" s="171">
        <f>MAX(AF13:AF108)</f>
        <v>0.69204600000000005</v>
      </c>
      <c r="AF8" s="170"/>
      <c r="AG8" s="52"/>
      <c r="AH8" s="53" t="s">
        <v>157</v>
      </c>
      <c r="AI8" s="171">
        <f>MAX(AJ13:AJ108)</f>
        <v>0.14000000000000001</v>
      </c>
      <c r="AJ8" s="170"/>
      <c r="AL8" s="53" t="s">
        <v>157</v>
      </c>
      <c r="AM8" s="171">
        <f>MAX(AN13:AN108)</f>
        <v>6.6710967999999995E-2</v>
      </c>
      <c r="AN8" s="170"/>
      <c r="AO8" s="52"/>
      <c r="AP8" s="51" t="s">
        <v>157</v>
      </c>
      <c r="AQ8" s="171">
        <f>MAX(AR13:AR108)</f>
        <v>3.2290909E-2</v>
      </c>
      <c r="AR8" s="170"/>
      <c r="AT8" s="51" t="s">
        <v>157</v>
      </c>
      <c r="AU8" s="171">
        <f>MAX(AV13:AV108)</f>
        <v>2.1770478999999999E-2</v>
      </c>
      <c r="AV8" s="170"/>
      <c r="AX8" s="50" t="s">
        <v>157</v>
      </c>
      <c r="AY8" s="171">
        <f>MAX(AZ13:AZ108)</f>
        <v>0.271389098</v>
      </c>
      <c r="AZ8" s="170"/>
      <c r="BB8" s="50" t="s">
        <v>157</v>
      </c>
      <c r="BC8" s="171">
        <f>MAX(BD13:BD108)</f>
        <v>0.24407621500000001</v>
      </c>
      <c r="BD8" s="170"/>
    </row>
    <row r="9" spans="1:56" ht="18">
      <c r="B9" s="57" t="s">
        <v>156</v>
      </c>
      <c r="C9" s="171">
        <f>MIN(D13:D108)</f>
        <v>2.0502033480000001E-2</v>
      </c>
      <c r="D9" s="170"/>
      <c r="E9" s="32"/>
      <c r="F9" s="57" t="s">
        <v>156</v>
      </c>
      <c r="G9" s="171">
        <f>MIN(H13:H108)</f>
        <v>9.8425594049999995E-3</v>
      </c>
      <c r="H9" s="170"/>
      <c r="J9" s="56" t="s">
        <v>156</v>
      </c>
      <c r="K9" s="171">
        <f>MIN(L13:L108)</f>
        <v>7.73278426E-4</v>
      </c>
      <c r="L9" s="170"/>
      <c r="N9" s="56" t="s">
        <v>156</v>
      </c>
      <c r="O9" s="171">
        <f>MIN(P13:P108)</f>
        <v>4.1199773630000002E-4</v>
      </c>
      <c r="P9" s="170"/>
      <c r="R9" s="55" t="s">
        <v>156</v>
      </c>
      <c r="S9" s="171">
        <f>MIN(T13:T108)</f>
        <v>1.0557311E-2</v>
      </c>
      <c r="T9" s="170"/>
      <c r="V9" s="55" t="s">
        <v>156</v>
      </c>
      <c r="W9" s="171">
        <f>MIN(X13:X108)</f>
        <v>5.3527080000000003E-3</v>
      </c>
      <c r="X9" s="170"/>
      <c r="Y9" s="52"/>
      <c r="Z9" s="54" t="s">
        <v>156</v>
      </c>
      <c r="AA9" s="171">
        <f>MIN(AB13:AB108)</f>
        <v>0.04</v>
      </c>
      <c r="AB9" s="170"/>
      <c r="AD9" s="54" t="s">
        <v>156</v>
      </c>
      <c r="AE9" s="171">
        <f>MIN(AF13:AF108)</f>
        <v>5.1817200000000001E-2</v>
      </c>
      <c r="AF9" s="170"/>
      <c r="AG9" s="52"/>
      <c r="AH9" s="53" t="s">
        <v>156</v>
      </c>
      <c r="AI9" s="171">
        <f>MIN(AJ13:AJ108)</f>
        <v>0</v>
      </c>
      <c r="AJ9" s="170"/>
      <c r="AL9" s="53" t="s">
        <v>156</v>
      </c>
      <c r="AM9" s="171">
        <f>MIN(AN13:AN108)</f>
        <v>6.0494699999999999E-4</v>
      </c>
      <c r="AN9" s="170"/>
      <c r="AO9" s="52"/>
      <c r="AP9" s="51" t="s">
        <v>156</v>
      </c>
      <c r="AQ9" s="171">
        <f>MIN(AR13:AR108)</f>
        <v>4.4183800000000001E-4</v>
      </c>
      <c r="AR9" s="170"/>
      <c r="AT9" s="51" t="s">
        <v>156</v>
      </c>
      <c r="AU9" s="171">
        <f>MIN(AV13:AV108)</f>
        <v>2.3460399999999999E-4</v>
      </c>
      <c r="AV9" s="170"/>
      <c r="AX9" s="50" t="s">
        <v>156</v>
      </c>
      <c r="AY9" s="171">
        <f>MIN(AZ13:AZ108)</f>
        <v>3.6566269999999998E-2</v>
      </c>
      <c r="AZ9" s="170"/>
      <c r="BB9" s="50" t="s">
        <v>156</v>
      </c>
      <c r="BC9" s="171">
        <f>MIN(BD13:BD108)</f>
        <v>3.5173092000000003E-2</v>
      </c>
      <c r="BD9" s="170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73" t="s">
        <v>151</v>
      </c>
      <c r="D11" s="170"/>
      <c r="E11" s="32"/>
      <c r="G11" s="174" t="s">
        <v>152</v>
      </c>
      <c r="H11" s="170"/>
      <c r="K11" s="175" t="s">
        <v>151</v>
      </c>
      <c r="L11" s="170"/>
      <c r="O11" s="172" t="s">
        <v>152</v>
      </c>
      <c r="P11" s="170"/>
      <c r="S11" s="175" t="s">
        <v>151</v>
      </c>
      <c r="T11" s="170"/>
      <c r="W11" s="172" t="s">
        <v>152</v>
      </c>
      <c r="X11" s="170"/>
      <c r="Y11" s="35"/>
      <c r="AA11" s="175" t="s">
        <v>151</v>
      </c>
      <c r="AB11" s="170"/>
      <c r="AE11" s="172" t="s">
        <v>152</v>
      </c>
      <c r="AF11" s="170"/>
      <c r="AG11" s="35"/>
      <c r="AI11" s="175" t="s">
        <v>151</v>
      </c>
      <c r="AJ11" s="170"/>
      <c r="AM11" s="172" t="s">
        <v>152</v>
      </c>
      <c r="AN11" s="170"/>
      <c r="AO11" s="35"/>
      <c r="AQ11" s="175" t="s">
        <v>151</v>
      </c>
      <c r="AR11" s="170"/>
      <c r="AU11" s="172" t="s">
        <v>152</v>
      </c>
      <c r="AV11" s="170"/>
      <c r="AY11" s="175" t="s">
        <v>151</v>
      </c>
      <c r="AZ11" s="170"/>
      <c r="BC11" s="172" t="s">
        <v>152</v>
      </c>
      <c r="BD11" s="170"/>
    </row>
    <row r="12" spans="1:56" ht="14.4">
      <c r="C12" s="28" t="s">
        <v>153</v>
      </c>
      <c r="D12" s="49" t="s">
        <v>155</v>
      </c>
      <c r="G12" s="47" t="s">
        <v>153</v>
      </c>
      <c r="H12" s="47" t="s">
        <v>155</v>
      </c>
      <c r="K12" s="47" t="s">
        <v>153</v>
      </c>
      <c r="L12" s="47" t="s">
        <v>155</v>
      </c>
      <c r="O12" s="47" t="s">
        <v>153</v>
      </c>
      <c r="P12" s="47" t="s">
        <v>155</v>
      </c>
      <c r="S12" s="47" t="s">
        <v>153</v>
      </c>
      <c r="T12" s="47" t="s">
        <v>155</v>
      </c>
      <c r="W12" s="47" t="s">
        <v>153</v>
      </c>
      <c r="X12" s="47" t="s">
        <v>155</v>
      </c>
      <c r="Y12" s="48"/>
      <c r="AA12" s="47" t="s">
        <v>153</v>
      </c>
      <c r="AB12" s="47" t="s">
        <v>155</v>
      </c>
      <c r="AE12" s="47" t="s">
        <v>153</v>
      </c>
      <c r="AF12" s="47" t="s">
        <v>155</v>
      </c>
      <c r="AG12" s="48"/>
      <c r="AI12" s="47" t="s">
        <v>153</v>
      </c>
      <c r="AJ12" s="47" t="s">
        <v>155</v>
      </c>
      <c r="AM12" s="47" t="s">
        <v>153</v>
      </c>
      <c r="AN12" s="47" t="s">
        <v>155</v>
      </c>
      <c r="AO12" s="48"/>
      <c r="AQ12" s="47" t="s">
        <v>153</v>
      </c>
      <c r="AR12" s="47" t="s">
        <v>155</v>
      </c>
      <c r="AU12" s="47" t="s">
        <v>153</v>
      </c>
      <c r="AV12" s="47" t="s">
        <v>155</v>
      </c>
      <c r="AY12" s="47" t="s">
        <v>153</v>
      </c>
      <c r="AZ12" s="47" t="s">
        <v>155</v>
      </c>
      <c r="BC12" s="47" t="s">
        <v>153</v>
      </c>
      <c r="BD12" s="47" t="s">
        <v>155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topLeftCell="A21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09"/>
      <c r="C2" s="110"/>
      <c r="D2" s="110"/>
      <c r="E2" s="110"/>
      <c r="F2" s="110"/>
      <c r="G2" s="110"/>
      <c r="H2" s="110"/>
      <c r="I2" s="110"/>
      <c r="J2" s="110"/>
      <c r="K2" s="111"/>
    </row>
    <row r="3" spans="2:11">
      <c r="B3" s="108"/>
      <c r="C3" s="106"/>
      <c r="D3" s="106"/>
      <c r="E3" s="106"/>
      <c r="F3" s="106"/>
      <c r="G3" s="106"/>
      <c r="H3" s="106"/>
      <c r="I3" s="106"/>
      <c r="J3" s="106"/>
      <c r="K3" s="107"/>
    </row>
    <row r="4" spans="2:11">
      <c r="B4" s="108"/>
      <c r="C4" s="106"/>
      <c r="D4" s="106"/>
      <c r="E4" s="106"/>
      <c r="F4" s="106"/>
      <c r="G4" s="106"/>
      <c r="H4" s="106"/>
      <c r="I4" s="106"/>
      <c r="J4" s="106"/>
      <c r="K4" s="107"/>
    </row>
    <row r="5" spans="2:11" ht="14.4" thickBot="1">
      <c r="B5" s="108"/>
      <c r="C5" s="106"/>
      <c r="D5" s="106"/>
      <c r="E5" s="106"/>
      <c r="F5" s="106"/>
      <c r="G5" s="106"/>
      <c r="H5" s="106"/>
      <c r="I5" s="106"/>
      <c r="J5" s="106"/>
      <c r="K5" s="107"/>
    </row>
    <row r="6" spans="2:11">
      <c r="B6" s="108"/>
      <c r="C6" s="196" t="s">
        <v>53</v>
      </c>
      <c r="D6" s="197"/>
      <c r="E6" s="198"/>
      <c r="F6" s="106"/>
      <c r="G6" s="106"/>
      <c r="H6" s="199" t="s">
        <v>54</v>
      </c>
      <c r="I6" s="200"/>
      <c r="J6" s="201"/>
      <c r="K6" s="107"/>
    </row>
    <row r="7" spans="2:11">
      <c r="B7" s="108"/>
      <c r="C7" s="202" t="s">
        <v>0</v>
      </c>
      <c r="D7" s="85" t="s">
        <v>43</v>
      </c>
      <c r="E7" s="1">
        <f>(Calculator!O8-'(Non)Ideal Flex Load'!J7)/('(Non)Ideal Flex Load'!E7-'(Non)Ideal Flex Load'!J7)</f>
        <v>0.47142857142857142</v>
      </c>
      <c r="F7" s="106"/>
      <c r="G7" s="106"/>
      <c r="H7" s="206" t="s">
        <v>0</v>
      </c>
      <c r="I7" s="85" t="s">
        <v>43</v>
      </c>
      <c r="J7" s="1">
        <f>(Calculator!O8-'(Non)Ideal Flex Load'!J25)/('(Non)Ideal Flex Load'!E25-'(Non)Ideal Flex Load'!J25)</f>
        <v>0.47142857142857142</v>
      </c>
      <c r="K7" s="107"/>
    </row>
    <row r="8" spans="2:11">
      <c r="B8" s="108"/>
      <c r="C8" s="203"/>
      <c r="D8" s="85" t="s">
        <v>42</v>
      </c>
      <c r="E8" s="1">
        <f>(Calculator!O9-'(Non)Ideal Flex Load'!J8)/('(Non)Ideal Flex Load'!E8-'(Non)Ideal Flex Load'!J8)</f>
        <v>2.5607100988109196E-2</v>
      </c>
      <c r="F8" s="106"/>
      <c r="G8" s="106"/>
      <c r="H8" s="207"/>
      <c r="I8" s="85" t="s">
        <v>42</v>
      </c>
      <c r="J8" s="1">
        <f>(Calculator!O9-'(Non)Ideal Flex Load'!J26)/('(Non)Ideal Flex Load'!E26-'(Non)Ideal Flex Load'!J26)</f>
        <v>2.5607100988109196E-2</v>
      </c>
      <c r="K8" s="107"/>
    </row>
    <row r="9" spans="2:11">
      <c r="B9" s="108"/>
      <c r="C9" s="204"/>
      <c r="D9" s="85" t="s">
        <v>41</v>
      </c>
      <c r="E9" s="1">
        <f>(Calculator!O10-'(Non)Ideal Flex Load'!J9)/('(Non)Ideal Flex Load'!E9-'(Non)Ideal Flex Load'!J9)</f>
        <v>1.5088359168077808E-2</v>
      </c>
      <c r="F9" s="106"/>
      <c r="G9" s="106"/>
      <c r="H9" s="208"/>
      <c r="I9" s="85" t="s">
        <v>41</v>
      </c>
      <c r="J9" s="1">
        <f>(Calculator!O10-'(Non)Ideal Flex Load'!J27)/('(Non)Ideal Flex Load'!E27-'(Non)Ideal Flex Load'!J27)</f>
        <v>1.5088359168077808E-2</v>
      </c>
      <c r="K9" s="107"/>
    </row>
    <row r="10" spans="2:11">
      <c r="B10" s="108"/>
      <c r="C10" s="202" t="s">
        <v>1</v>
      </c>
      <c r="D10" s="85" t="s">
        <v>2</v>
      </c>
      <c r="E10" s="1">
        <f>('(Non)Ideal Flex Load'!J10-Calculator!O11)/('(Non)Ideal Flex Load'!J10-'(Non)Ideal Flex Load'!E10)</f>
        <v>0</v>
      </c>
      <c r="F10" s="106"/>
      <c r="G10" s="106"/>
      <c r="H10" s="206" t="s">
        <v>1</v>
      </c>
      <c r="I10" s="85" t="s">
        <v>2</v>
      </c>
      <c r="J10" s="1">
        <f>('(Non)Ideal Flex Load'!J28-Calculator!O11)/('(Non)Ideal Flex Load'!J28-'(Non)Ideal Flex Load'!E28)</f>
        <v>1</v>
      </c>
      <c r="K10" s="107"/>
    </row>
    <row r="11" spans="2:11">
      <c r="B11" s="108"/>
      <c r="C11" s="203"/>
      <c r="D11" s="85" t="s">
        <v>44</v>
      </c>
      <c r="E11" s="1">
        <f>(Calculator!O12-'(Non)Ideal Flex Load'!J11)/('(Non)Ideal Flex Load'!E11-'(Non)Ideal Flex Load'!J11)</f>
        <v>0.81893968998306632</v>
      </c>
      <c r="F11" s="106"/>
      <c r="G11" s="106"/>
      <c r="H11" s="207"/>
      <c r="I11" s="85" t="s">
        <v>44</v>
      </c>
      <c r="J11" s="1">
        <f>(Calculator!O12-'(Non)Ideal Flex Load'!J29)/('(Non)Ideal Flex Load'!E29-'(Non)Ideal Flex Load'!J29)</f>
        <v>0.81893968998306632</v>
      </c>
      <c r="K11" s="107"/>
    </row>
    <row r="12" spans="2:11">
      <c r="B12" s="108"/>
      <c r="C12" s="204"/>
      <c r="D12" s="85" t="s">
        <v>40</v>
      </c>
      <c r="E12" s="1">
        <f>(Calculator!O13-'(Non)Ideal Flex Load'!J12)/('(Non)Ideal Flex Load'!E12-'(Non)Ideal Flex Load'!J12)</f>
        <v>0.92</v>
      </c>
      <c r="F12" s="106"/>
      <c r="G12" s="106"/>
      <c r="H12" s="208"/>
      <c r="I12" s="85" t="s">
        <v>40</v>
      </c>
      <c r="J12" s="1">
        <f>(Calculator!O13-'(Non)Ideal Flex Load'!J30)/('(Non)Ideal Flex Load'!E30-'(Non)Ideal Flex Load'!J30)</f>
        <v>1</v>
      </c>
      <c r="K12" s="107"/>
    </row>
    <row r="13" spans="2:11">
      <c r="B13" s="108"/>
      <c r="C13" s="202" t="s">
        <v>3</v>
      </c>
      <c r="D13" s="85" t="s">
        <v>4</v>
      </c>
      <c r="E13" s="1">
        <f>IF(Calculator!Schedule='(Non)Ideal Flex Load'!E13, 1, 0)</f>
        <v>1</v>
      </c>
      <c r="F13" s="106"/>
      <c r="G13" s="106"/>
      <c r="H13" s="206" t="s">
        <v>3</v>
      </c>
      <c r="I13" s="85" t="s">
        <v>4</v>
      </c>
      <c r="J13" s="1">
        <f>IF(Calculator!Schedule='(Non)Ideal Flex Load'!E31, 1, 0)</f>
        <v>1</v>
      </c>
      <c r="K13" s="107"/>
    </row>
    <row r="14" spans="2:11">
      <c r="B14" s="108"/>
      <c r="C14" s="203"/>
      <c r="D14" s="85" t="s">
        <v>5</v>
      </c>
      <c r="E14" s="1">
        <f>IF(Calculator!App='(Non)Ideal Flex Load'!E14, 1, 0)</f>
        <v>1</v>
      </c>
      <c r="F14" s="106"/>
      <c r="G14" s="106"/>
      <c r="H14" s="207"/>
      <c r="I14" s="85" t="s">
        <v>5</v>
      </c>
      <c r="J14" s="1">
        <f>IF(Calculator!App='(Non)Ideal Flex Load'!E32, 1, 0)</f>
        <v>1</v>
      </c>
      <c r="K14" s="107"/>
    </row>
    <row r="15" spans="2:11">
      <c r="B15" s="108"/>
      <c r="C15" s="203"/>
      <c r="D15" s="85" t="s">
        <v>6</v>
      </c>
      <c r="E15" s="1">
        <f>IF(Calculator!Wireless='(Non)Ideal Flex Load'!E15, 1, 0)</f>
        <v>1</v>
      </c>
      <c r="F15" s="106"/>
      <c r="G15" s="106"/>
      <c r="H15" s="207"/>
      <c r="I15" s="85" t="s">
        <v>6</v>
      </c>
      <c r="J15" s="1">
        <f>IF(Calculator!Wireless='(Non)Ideal Flex Load'!E33, 1, 0)</f>
        <v>1</v>
      </c>
      <c r="K15" s="107"/>
    </row>
    <row r="16" spans="2:11">
      <c r="B16" s="108"/>
      <c r="C16" s="204"/>
      <c r="D16" s="85" t="s">
        <v>7</v>
      </c>
      <c r="E16" s="1">
        <f>IF(Calculator!ToU='(Non)Ideal Flex Load'!E16, 1, 0)</f>
        <v>1</v>
      </c>
      <c r="F16" s="106"/>
      <c r="G16" s="106"/>
      <c r="H16" s="208"/>
      <c r="I16" s="85" t="s">
        <v>7</v>
      </c>
      <c r="J16" s="1">
        <f>IF(Calculator!ToU='(Non)Ideal Flex Load'!E34, 1, 0)</f>
        <v>1</v>
      </c>
      <c r="K16" s="107"/>
    </row>
    <row r="17" spans="2:11">
      <c r="B17" s="108"/>
      <c r="C17" s="202" t="s">
        <v>8</v>
      </c>
      <c r="D17" s="85" t="s">
        <v>9</v>
      </c>
      <c r="E17" s="1">
        <f>IF(Calculator!Standards='(Non)Ideal Flex Load'!E17, 1, 0)</f>
        <v>1</v>
      </c>
      <c r="F17" s="106"/>
      <c r="G17" s="106"/>
      <c r="H17" s="206" t="s">
        <v>8</v>
      </c>
      <c r="I17" s="85" t="s">
        <v>9</v>
      </c>
      <c r="J17" s="1">
        <f>IF(Calculator!Standards='(Non)Ideal Flex Load'!E35, 1, 0)</f>
        <v>1</v>
      </c>
      <c r="K17" s="107"/>
    </row>
    <row r="18" spans="2:11" ht="14.4" customHeight="1">
      <c r="B18" s="108"/>
      <c r="C18" s="203"/>
      <c r="D18" s="85" t="s">
        <v>10</v>
      </c>
      <c r="E18" s="1">
        <f>IF(Calculator!UCM='(Non)Ideal Flex Load'!E18, 1, 0)</f>
        <v>1</v>
      </c>
      <c r="F18" s="106"/>
      <c r="G18" s="106"/>
      <c r="H18" s="207"/>
      <c r="I18" s="85" t="s">
        <v>10</v>
      </c>
      <c r="J18" s="1">
        <f>IF(Calculator!UCM='(Non)Ideal Flex Load'!E36, 1, 0)</f>
        <v>1</v>
      </c>
      <c r="K18" s="107"/>
    </row>
    <row r="19" spans="2:11" ht="14.4" customHeight="1">
      <c r="B19" s="108"/>
      <c r="C19" s="203"/>
      <c r="D19" s="85" t="s">
        <v>11</v>
      </c>
      <c r="E19" s="1">
        <f>IF(Calculator!Compliant='(Non)Ideal Flex Load'!E19, 1, 0)</f>
        <v>1</v>
      </c>
      <c r="F19" s="106"/>
      <c r="G19" s="106"/>
      <c r="H19" s="207"/>
      <c r="I19" s="85" t="s">
        <v>11</v>
      </c>
      <c r="J19" s="1">
        <f>IF(Calculator!Compliant='(Non)Ideal Flex Load'!E37, 1, 0)</f>
        <v>1</v>
      </c>
      <c r="K19" s="107"/>
    </row>
    <row r="20" spans="2:11" ht="14.4" customHeight="1">
      <c r="B20" s="108"/>
      <c r="C20" s="203"/>
      <c r="D20" s="85" t="s">
        <v>12</v>
      </c>
      <c r="E20" s="1">
        <f>(Calculator!O21-'(Non)Ideal Flex Load'!J20)/('(Non)Ideal Flex Load'!E20-'(Non)Ideal Flex Load'!J20)</f>
        <v>0.5</v>
      </c>
      <c r="F20" s="106"/>
      <c r="G20" s="106"/>
      <c r="H20" s="207"/>
      <c r="I20" s="85" t="s">
        <v>12</v>
      </c>
      <c r="J20" s="1">
        <f>(Calculator!O21-'(Non)Ideal Flex Load'!J38)/('(Non)Ideal Flex Load'!E38-'(Non)Ideal Flex Load'!J38)</f>
        <v>0.5</v>
      </c>
      <c r="K20" s="107"/>
    </row>
    <row r="21" spans="2:11" ht="15" customHeight="1" thickBot="1">
      <c r="B21" s="108"/>
      <c r="C21" s="205"/>
      <c r="D21" s="86" t="s">
        <v>13</v>
      </c>
      <c r="E21" s="2">
        <f>(Calculator!O22-'(Non)Ideal Flex Load'!J21)/('(Non)Ideal Flex Load'!E21-'(Non)Ideal Flex Load'!J21)</f>
        <v>0.5</v>
      </c>
      <c r="F21" s="106"/>
      <c r="G21" s="106"/>
      <c r="H21" s="209"/>
      <c r="I21" s="86" t="s">
        <v>13</v>
      </c>
      <c r="J21" s="2">
        <f>(Calculator!O22-'(Non)Ideal Flex Load'!J39)/('(Non)Ideal Flex Load'!E39-'(Non)Ideal Flex Load'!J39)</f>
        <v>0.5</v>
      </c>
      <c r="K21" s="107"/>
    </row>
    <row r="22" spans="2:11">
      <c r="B22" s="108"/>
      <c r="C22" s="106"/>
      <c r="D22" s="106"/>
      <c r="E22" s="106"/>
      <c r="F22" s="106"/>
      <c r="G22" s="106"/>
      <c r="H22" s="106"/>
      <c r="I22" s="106"/>
      <c r="J22" s="106"/>
      <c r="K22" s="107"/>
    </row>
    <row r="23" spans="2:11">
      <c r="B23" s="108"/>
      <c r="C23" s="106"/>
      <c r="D23" s="106"/>
      <c r="E23" s="106"/>
      <c r="F23" s="106"/>
      <c r="G23" s="106"/>
      <c r="H23" s="106"/>
      <c r="I23" s="106"/>
      <c r="J23" s="106"/>
      <c r="K23" s="107"/>
    </row>
    <row r="24" spans="2:11">
      <c r="B24" s="108"/>
      <c r="C24" s="106"/>
      <c r="D24" s="106"/>
      <c r="E24" s="106"/>
      <c r="F24" s="106"/>
      <c r="G24" s="106"/>
      <c r="H24" s="106"/>
      <c r="I24" s="106"/>
      <c r="J24" s="106"/>
      <c r="K24" s="107"/>
    </row>
    <row r="25" spans="2:11">
      <c r="B25" s="108"/>
      <c r="C25" s="106"/>
      <c r="D25" s="106"/>
      <c r="E25" s="106"/>
      <c r="F25" s="106"/>
      <c r="G25" s="106"/>
      <c r="H25" s="106"/>
      <c r="I25" s="106"/>
      <c r="J25" s="106"/>
      <c r="K25" s="107"/>
    </row>
    <row r="26" spans="2:11">
      <c r="B26" s="108"/>
      <c r="C26" s="106"/>
      <c r="D26" s="106"/>
      <c r="E26" s="106"/>
      <c r="F26" s="106"/>
      <c r="G26" s="106"/>
      <c r="H26" s="106"/>
      <c r="I26" s="106"/>
      <c r="J26" s="106"/>
      <c r="K26" s="107"/>
    </row>
    <row r="27" spans="2:11" ht="14.4" thickBot="1">
      <c r="B27" s="108"/>
      <c r="C27" s="106"/>
      <c r="D27" s="106"/>
      <c r="E27" s="106"/>
      <c r="F27" s="106"/>
      <c r="G27" s="106"/>
      <c r="H27" s="106"/>
      <c r="I27" s="106"/>
      <c r="J27" s="106"/>
      <c r="K27" s="107"/>
    </row>
    <row r="28" spans="2:11" ht="14.4" customHeight="1">
      <c r="B28" s="108"/>
      <c r="C28" s="210" t="s">
        <v>45</v>
      </c>
      <c r="D28" s="211"/>
      <c r="E28" s="212"/>
      <c r="F28" s="106"/>
      <c r="G28" s="106"/>
      <c r="H28" s="106"/>
      <c r="I28" s="106"/>
      <c r="J28" s="106"/>
      <c r="K28" s="107"/>
    </row>
    <row r="29" spans="2:11">
      <c r="B29" s="108"/>
      <c r="C29" s="193" t="s">
        <v>0</v>
      </c>
      <c r="D29" s="85" t="s">
        <v>15</v>
      </c>
      <c r="E29" s="134">
        <v>3</v>
      </c>
      <c r="F29" s="106"/>
      <c r="G29" s="106"/>
      <c r="H29" s="106"/>
      <c r="I29" s="106"/>
      <c r="J29" s="106"/>
      <c r="K29" s="107"/>
    </row>
    <row r="30" spans="2:11">
      <c r="B30" s="108"/>
      <c r="C30" s="194"/>
      <c r="D30" s="85" t="s">
        <v>16</v>
      </c>
      <c r="E30" s="134">
        <v>3</v>
      </c>
      <c r="F30" s="106"/>
      <c r="G30" s="106"/>
      <c r="H30" s="106"/>
      <c r="I30" s="106"/>
      <c r="J30" s="106"/>
      <c r="K30" s="107"/>
    </row>
    <row r="31" spans="2:11">
      <c r="B31" s="108"/>
      <c r="C31" s="213"/>
      <c r="D31" s="85" t="s">
        <v>17</v>
      </c>
      <c r="E31" s="134">
        <v>4</v>
      </c>
      <c r="F31" s="106"/>
      <c r="G31" s="106"/>
      <c r="H31" s="106"/>
      <c r="I31" s="106"/>
      <c r="J31" s="106"/>
      <c r="K31" s="107"/>
    </row>
    <row r="32" spans="2:11">
      <c r="B32" s="108"/>
      <c r="C32" s="193" t="s">
        <v>1</v>
      </c>
      <c r="D32" s="85" t="s">
        <v>18</v>
      </c>
      <c r="E32" s="134">
        <v>4</v>
      </c>
      <c r="F32" s="132"/>
      <c r="G32" s="106"/>
      <c r="H32" s="106"/>
      <c r="I32" s="106"/>
      <c r="J32" s="106"/>
      <c r="K32" s="107"/>
    </row>
    <row r="33" spans="2:11">
      <c r="B33" s="108"/>
      <c r="C33" s="194"/>
      <c r="D33" s="85" t="s">
        <v>19</v>
      </c>
      <c r="E33" s="134">
        <v>3</v>
      </c>
      <c r="F33" s="132"/>
      <c r="G33" s="106"/>
      <c r="H33" s="106"/>
      <c r="I33" s="106"/>
      <c r="J33" s="106"/>
      <c r="K33" s="107"/>
    </row>
    <row r="34" spans="2:11">
      <c r="B34" s="108"/>
      <c r="C34" s="213"/>
      <c r="D34" s="85" t="s">
        <v>20</v>
      </c>
      <c r="E34" s="134">
        <v>3</v>
      </c>
      <c r="F34" s="132"/>
      <c r="G34" s="106"/>
      <c r="H34" s="106"/>
      <c r="I34" s="106"/>
      <c r="J34" s="106"/>
      <c r="K34" s="107"/>
    </row>
    <row r="35" spans="2:11">
      <c r="B35" s="108"/>
      <c r="C35" s="193" t="s">
        <v>3</v>
      </c>
      <c r="D35" s="85" t="s">
        <v>21</v>
      </c>
      <c r="E35" s="134">
        <v>3</v>
      </c>
      <c r="F35" s="132"/>
      <c r="G35" s="106"/>
      <c r="H35" s="106"/>
      <c r="I35" s="106"/>
      <c r="J35" s="106"/>
      <c r="K35" s="107"/>
    </row>
    <row r="36" spans="2:11">
      <c r="B36" s="108"/>
      <c r="C36" s="194"/>
      <c r="D36" s="85" t="s">
        <v>22</v>
      </c>
      <c r="E36" s="134">
        <v>3</v>
      </c>
      <c r="F36" s="132"/>
      <c r="G36" s="106"/>
      <c r="H36" s="106"/>
      <c r="I36" s="106"/>
      <c r="J36" s="106"/>
      <c r="K36" s="107"/>
    </row>
    <row r="37" spans="2:11">
      <c r="B37" s="108"/>
      <c r="C37" s="194"/>
      <c r="D37" s="85" t="s">
        <v>23</v>
      </c>
      <c r="E37" s="134">
        <v>2</v>
      </c>
      <c r="F37" s="132"/>
      <c r="G37" s="106"/>
      <c r="H37" s="106"/>
      <c r="I37" s="106"/>
      <c r="J37" s="106"/>
      <c r="K37" s="107"/>
    </row>
    <row r="38" spans="2:11">
      <c r="B38" s="108"/>
      <c r="C38" s="213"/>
      <c r="D38" s="85" t="s">
        <v>24</v>
      </c>
      <c r="E38" s="134">
        <v>2</v>
      </c>
      <c r="F38" s="132"/>
      <c r="G38" s="106"/>
      <c r="H38" s="106"/>
      <c r="I38" s="106"/>
      <c r="J38" s="106"/>
      <c r="K38" s="107"/>
    </row>
    <row r="39" spans="2:11">
      <c r="B39" s="108"/>
      <c r="C39" s="193" t="s">
        <v>8</v>
      </c>
      <c r="D39" s="85" t="s">
        <v>25</v>
      </c>
      <c r="E39" s="134">
        <v>2</v>
      </c>
      <c r="F39" s="132"/>
      <c r="G39" s="106"/>
      <c r="H39" s="106"/>
      <c r="I39" s="106"/>
      <c r="J39" s="106"/>
      <c r="K39" s="107"/>
    </row>
    <row r="40" spans="2:11" ht="14.4" customHeight="1">
      <c r="B40" s="108"/>
      <c r="C40" s="194"/>
      <c r="D40" s="85" t="s">
        <v>26</v>
      </c>
      <c r="E40" s="134">
        <v>2</v>
      </c>
      <c r="F40" s="132"/>
      <c r="G40" s="106"/>
      <c r="H40" s="106"/>
      <c r="I40" s="106"/>
      <c r="J40" s="106"/>
      <c r="K40" s="107"/>
    </row>
    <row r="41" spans="2:11" ht="14.4" customHeight="1">
      <c r="B41" s="108"/>
      <c r="C41" s="194"/>
      <c r="D41" s="85" t="s">
        <v>27</v>
      </c>
      <c r="E41" s="134">
        <v>2</v>
      </c>
      <c r="F41" s="132"/>
      <c r="G41" s="106"/>
      <c r="H41" s="106"/>
      <c r="I41" s="106"/>
      <c r="J41" s="106"/>
      <c r="K41" s="107"/>
    </row>
    <row r="42" spans="2:11" ht="14.4" customHeight="1">
      <c r="B42" s="108"/>
      <c r="C42" s="194"/>
      <c r="D42" s="85" t="s">
        <v>28</v>
      </c>
      <c r="E42" s="134">
        <v>2</v>
      </c>
      <c r="F42" s="132"/>
      <c r="G42" s="106"/>
      <c r="H42" s="106"/>
      <c r="I42" s="106"/>
      <c r="J42" s="106"/>
      <c r="K42" s="107"/>
    </row>
    <row r="43" spans="2:11" ht="15" customHeight="1" thickBot="1">
      <c r="B43" s="108"/>
      <c r="C43" s="195"/>
      <c r="D43" s="86" t="s">
        <v>46</v>
      </c>
      <c r="E43" s="135">
        <v>2</v>
      </c>
      <c r="F43" s="132"/>
      <c r="G43" s="106"/>
      <c r="H43" s="106"/>
      <c r="I43" s="106"/>
      <c r="J43" s="106"/>
      <c r="K43" s="107"/>
    </row>
    <row r="44" spans="2:11" ht="14.4" thickBot="1">
      <c r="B44" s="103"/>
      <c r="C44" s="136"/>
      <c r="D44" s="104"/>
      <c r="E44" s="104"/>
      <c r="F44" s="133"/>
      <c r="G44" s="104"/>
      <c r="H44" s="104"/>
      <c r="I44" s="104"/>
      <c r="J44" s="104"/>
      <c r="K44" s="105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09"/>
      <c r="C2" s="110"/>
      <c r="D2" s="110"/>
      <c r="E2" s="110"/>
      <c r="F2" s="110"/>
      <c r="G2" s="110"/>
      <c r="H2" s="110"/>
      <c r="I2" s="110"/>
      <c r="J2" s="110"/>
      <c r="K2" s="111"/>
    </row>
    <row r="3" spans="2:11">
      <c r="B3" s="108"/>
      <c r="C3" s="106"/>
      <c r="D3" s="106"/>
      <c r="E3" s="106"/>
      <c r="F3" s="106"/>
      <c r="G3" s="106"/>
      <c r="H3" s="106"/>
      <c r="I3" s="106"/>
      <c r="J3" s="106"/>
      <c r="K3" s="107"/>
    </row>
    <row r="4" spans="2:11">
      <c r="B4" s="108"/>
      <c r="C4" s="106"/>
      <c r="D4" s="106"/>
      <c r="E4" s="106"/>
      <c r="F4" s="106"/>
      <c r="G4" s="106"/>
      <c r="H4" s="106"/>
      <c r="I4" s="106"/>
      <c r="J4" s="106"/>
      <c r="K4" s="107"/>
    </row>
    <row r="5" spans="2:11" ht="14.4" thickBot="1">
      <c r="B5" s="108"/>
      <c r="C5" s="106"/>
      <c r="D5" s="106"/>
      <c r="E5" s="106"/>
      <c r="F5" s="106"/>
      <c r="G5" s="106"/>
      <c r="H5" s="106"/>
      <c r="I5" s="106"/>
      <c r="J5" s="106"/>
      <c r="K5" s="107"/>
    </row>
    <row r="6" spans="2:11">
      <c r="B6" s="108"/>
      <c r="C6" s="142" t="s">
        <v>47</v>
      </c>
      <c r="D6" s="216"/>
      <c r="E6" s="143"/>
      <c r="F6" s="106"/>
      <c r="G6" s="106"/>
      <c r="H6" s="142" t="s">
        <v>48</v>
      </c>
      <c r="I6" s="216"/>
      <c r="J6" s="143"/>
      <c r="K6" s="107"/>
    </row>
    <row r="7" spans="2:11">
      <c r="B7" s="108"/>
      <c r="C7" s="214" t="s">
        <v>0</v>
      </c>
      <c r="D7" s="85" t="s">
        <v>43</v>
      </c>
      <c r="E7" s="1">
        <v>10.5</v>
      </c>
      <c r="F7" s="106"/>
      <c r="G7" s="106"/>
      <c r="H7" s="214" t="s">
        <v>0</v>
      </c>
      <c r="I7" s="85" t="s">
        <v>43</v>
      </c>
      <c r="J7" s="1">
        <v>0</v>
      </c>
      <c r="K7" s="107"/>
    </row>
    <row r="8" spans="2:11">
      <c r="B8" s="108"/>
      <c r="C8" s="214"/>
      <c r="D8" s="85" t="s">
        <v>42</v>
      </c>
      <c r="E8" s="1">
        <v>70</v>
      </c>
      <c r="F8" s="106"/>
      <c r="G8" s="106"/>
      <c r="H8" s="214"/>
      <c r="I8" s="85" t="s">
        <v>42</v>
      </c>
      <c r="J8" s="1">
        <v>0</v>
      </c>
      <c r="K8" s="107"/>
    </row>
    <row r="9" spans="2:11" ht="15" customHeight="1">
      <c r="B9" s="108"/>
      <c r="C9" s="214"/>
      <c r="D9" s="85" t="s">
        <v>41</v>
      </c>
      <c r="E9" s="1">
        <v>1440</v>
      </c>
      <c r="F9" s="106"/>
      <c r="G9" s="106"/>
      <c r="H9" s="214"/>
      <c r="I9" s="85" t="s">
        <v>41</v>
      </c>
      <c r="J9" s="1">
        <v>0</v>
      </c>
      <c r="K9" s="107"/>
    </row>
    <row r="10" spans="2:11">
      <c r="B10" s="108"/>
      <c r="C10" s="214" t="s">
        <v>1</v>
      </c>
      <c r="D10" s="85" t="s">
        <v>2</v>
      </c>
      <c r="E10" s="1">
        <v>0</v>
      </c>
      <c r="F10" s="106"/>
      <c r="G10" s="106"/>
      <c r="H10" s="214" t="s">
        <v>1</v>
      </c>
      <c r="I10" s="85" t="s">
        <v>2</v>
      </c>
      <c r="J10" s="1">
        <v>30</v>
      </c>
      <c r="K10" s="107"/>
    </row>
    <row r="11" spans="2:11">
      <c r="B11" s="108"/>
      <c r="C11" s="214"/>
      <c r="D11" s="85" t="s">
        <v>44</v>
      </c>
      <c r="E11" s="1">
        <v>0</v>
      </c>
      <c r="F11" s="106"/>
      <c r="G11" s="106"/>
      <c r="H11" s="214"/>
      <c r="I11" s="85" t="s">
        <v>44</v>
      </c>
      <c r="J11" s="1">
        <f>2*60*60</f>
        <v>7200</v>
      </c>
      <c r="K11" s="107"/>
    </row>
    <row r="12" spans="2:11">
      <c r="B12" s="108"/>
      <c r="C12" s="214"/>
      <c r="D12" s="85" t="s">
        <v>40</v>
      </c>
      <c r="E12" s="1">
        <v>0</v>
      </c>
      <c r="F12" s="106"/>
      <c r="G12" s="106"/>
      <c r="H12" s="214"/>
      <c r="I12" s="85" t="s">
        <v>40</v>
      </c>
      <c r="J12" s="1">
        <f>1500</f>
        <v>1500</v>
      </c>
      <c r="K12" s="107"/>
    </row>
    <row r="13" spans="2:11">
      <c r="B13" s="108"/>
      <c r="C13" s="214" t="s">
        <v>3</v>
      </c>
      <c r="D13" s="85" t="s">
        <v>4</v>
      </c>
      <c r="E13" s="1" t="s">
        <v>38</v>
      </c>
      <c r="F13" s="106"/>
      <c r="G13" s="106"/>
      <c r="H13" s="214" t="s">
        <v>3</v>
      </c>
      <c r="I13" s="85" t="s">
        <v>4</v>
      </c>
      <c r="J13" s="1" t="s">
        <v>172</v>
      </c>
      <c r="K13" s="107"/>
    </row>
    <row r="14" spans="2:11">
      <c r="B14" s="108"/>
      <c r="C14" s="214"/>
      <c r="D14" s="85" t="s">
        <v>5</v>
      </c>
      <c r="E14" s="1" t="s">
        <v>38</v>
      </c>
      <c r="F14" s="106"/>
      <c r="G14" s="106"/>
      <c r="H14" s="214"/>
      <c r="I14" s="85" t="s">
        <v>5</v>
      </c>
      <c r="J14" s="1" t="s">
        <v>172</v>
      </c>
      <c r="K14" s="107"/>
    </row>
    <row r="15" spans="2:11">
      <c r="B15" s="108"/>
      <c r="C15" s="214"/>
      <c r="D15" s="85" t="s">
        <v>6</v>
      </c>
      <c r="E15" s="1" t="s">
        <v>38</v>
      </c>
      <c r="F15" s="106"/>
      <c r="G15" s="106"/>
      <c r="H15" s="214"/>
      <c r="I15" s="85" t="s">
        <v>6</v>
      </c>
      <c r="J15" s="1" t="s">
        <v>172</v>
      </c>
      <c r="K15" s="107"/>
    </row>
    <row r="16" spans="2:11">
      <c r="B16" s="108"/>
      <c r="C16" s="214"/>
      <c r="D16" s="85" t="s">
        <v>7</v>
      </c>
      <c r="E16" s="1" t="s">
        <v>38</v>
      </c>
      <c r="F16" s="106"/>
      <c r="G16" s="106"/>
      <c r="H16" s="214"/>
      <c r="I16" s="85" t="s">
        <v>7</v>
      </c>
      <c r="J16" s="1" t="s">
        <v>172</v>
      </c>
      <c r="K16" s="107"/>
    </row>
    <row r="17" spans="2:13">
      <c r="B17" s="108"/>
      <c r="C17" s="214" t="s">
        <v>8</v>
      </c>
      <c r="D17" s="85" t="s">
        <v>9</v>
      </c>
      <c r="E17" s="1" t="s">
        <v>38</v>
      </c>
      <c r="F17" s="106"/>
      <c r="G17" s="106"/>
      <c r="H17" s="214" t="s">
        <v>8</v>
      </c>
      <c r="I17" s="85" t="s">
        <v>9</v>
      </c>
      <c r="J17" s="1" t="s">
        <v>172</v>
      </c>
      <c r="K17" s="107"/>
    </row>
    <row r="18" spans="2:13">
      <c r="B18" s="108"/>
      <c r="C18" s="214"/>
      <c r="D18" s="85" t="s">
        <v>10</v>
      </c>
      <c r="E18" s="1" t="s">
        <v>38</v>
      </c>
      <c r="F18" s="106"/>
      <c r="G18" s="106"/>
      <c r="H18" s="214"/>
      <c r="I18" s="85" t="s">
        <v>10</v>
      </c>
      <c r="J18" s="1" t="s">
        <v>172</v>
      </c>
      <c r="K18" s="107"/>
      <c r="M18" s="4"/>
    </row>
    <row r="19" spans="2:13">
      <c r="B19" s="108"/>
      <c r="C19" s="214"/>
      <c r="D19" s="85" t="s">
        <v>11</v>
      </c>
      <c r="E19" s="1" t="s">
        <v>38</v>
      </c>
      <c r="F19" s="106"/>
      <c r="G19" s="106"/>
      <c r="H19" s="214"/>
      <c r="I19" s="85" t="s">
        <v>11</v>
      </c>
      <c r="J19" s="1" t="s">
        <v>172</v>
      </c>
      <c r="K19" s="107"/>
    </row>
    <row r="20" spans="2:13">
      <c r="B20" s="108"/>
      <c r="C20" s="214"/>
      <c r="D20" s="85" t="s">
        <v>12</v>
      </c>
      <c r="E20" s="1">
        <v>1</v>
      </c>
      <c r="F20" s="106"/>
      <c r="G20" s="106"/>
      <c r="H20" s="214"/>
      <c r="I20" s="85" t="s">
        <v>12</v>
      </c>
      <c r="J20" s="1">
        <v>0</v>
      </c>
      <c r="K20" s="107"/>
    </row>
    <row r="21" spans="2:13" ht="14.4" thickBot="1">
      <c r="B21" s="108"/>
      <c r="C21" s="215"/>
      <c r="D21" s="86" t="s">
        <v>13</v>
      </c>
      <c r="E21" s="2">
        <v>1</v>
      </c>
      <c r="F21" s="106"/>
      <c r="G21" s="106"/>
      <c r="H21" s="215"/>
      <c r="I21" s="86" t="s">
        <v>13</v>
      </c>
      <c r="J21" s="2">
        <v>0</v>
      </c>
      <c r="K21" s="107"/>
    </row>
    <row r="22" spans="2:13">
      <c r="B22" s="108"/>
      <c r="C22" s="106"/>
      <c r="D22" s="106"/>
      <c r="E22" s="106"/>
      <c r="F22" s="106"/>
      <c r="G22" s="106"/>
      <c r="H22" s="106"/>
      <c r="I22" s="106"/>
      <c r="J22" s="106"/>
      <c r="K22" s="107"/>
    </row>
    <row r="23" spans="2:13" ht="14.4" thickBot="1">
      <c r="B23" s="108"/>
      <c r="C23" s="106"/>
      <c r="D23" s="106"/>
      <c r="E23" s="106"/>
      <c r="F23" s="106"/>
      <c r="G23" s="106"/>
      <c r="H23" s="106"/>
      <c r="I23" s="106"/>
      <c r="J23" s="106"/>
      <c r="K23" s="107"/>
    </row>
    <row r="24" spans="2:13">
      <c r="B24" s="108"/>
      <c r="C24" s="142" t="s">
        <v>49</v>
      </c>
      <c r="D24" s="216"/>
      <c r="E24" s="143"/>
      <c r="F24" s="106"/>
      <c r="G24" s="106"/>
      <c r="H24" s="142" t="s">
        <v>50</v>
      </c>
      <c r="I24" s="216"/>
      <c r="J24" s="143"/>
      <c r="K24" s="107"/>
    </row>
    <row r="25" spans="2:13">
      <c r="B25" s="108"/>
      <c r="C25" s="214" t="s">
        <v>0</v>
      </c>
      <c r="D25" s="85" t="s">
        <v>43</v>
      </c>
      <c r="E25" s="1">
        <v>10.5</v>
      </c>
      <c r="F25" s="106"/>
      <c r="G25" s="106"/>
      <c r="H25" s="214" t="s">
        <v>0</v>
      </c>
      <c r="I25" s="85" t="s">
        <v>43</v>
      </c>
      <c r="J25" s="1">
        <v>0</v>
      </c>
      <c r="K25" s="107"/>
    </row>
    <row r="26" spans="2:13" ht="15" customHeight="1">
      <c r="B26" s="108"/>
      <c r="C26" s="214"/>
      <c r="D26" s="85" t="s">
        <v>42</v>
      </c>
      <c r="E26" s="1">
        <v>70</v>
      </c>
      <c r="F26" s="106"/>
      <c r="G26" s="106"/>
      <c r="H26" s="214"/>
      <c r="I26" s="85" t="s">
        <v>42</v>
      </c>
      <c r="J26" s="1">
        <v>0</v>
      </c>
      <c r="K26" s="107"/>
    </row>
    <row r="27" spans="2:13">
      <c r="B27" s="108"/>
      <c r="C27" s="214"/>
      <c r="D27" s="85" t="s">
        <v>41</v>
      </c>
      <c r="E27" s="1">
        <f>24*60</f>
        <v>1440</v>
      </c>
      <c r="F27" s="106"/>
      <c r="G27" s="106"/>
      <c r="H27" s="214"/>
      <c r="I27" s="85" t="s">
        <v>41</v>
      </c>
      <c r="J27" s="1">
        <v>0</v>
      </c>
      <c r="K27" s="107"/>
    </row>
    <row r="28" spans="2:13">
      <c r="B28" s="108"/>
      <c r="C28" s="214" t="s">
        <v>1</v>
      </c>
      <c r="D28" s="85" t="s">
        <v>2</v>
      </c>
      <c r="E28" s="1">
        <v>30</v>
      </c>
      <c r="F28" s="106"/>
      <c r="G28" s="106"/>
      <c r="H28" s="214" t="s">
        <v>1</v>
      </c>
      <c r="I28" s="85" t="s">
        <v>2</v>
      </c>
      <c r="J28" s="1">
        <v>1500</v>
      </c>
      <c r="K28" s="107"/>
    </row>
    <row r="29" spans="2:13">
      <c r="B29" s="108"/>
      <c r="C29" s="214"/>
      <c r="D29" s="85" t="s">
        <v>44</v>
      </c>
      <c r="E29" s="1">
        <v>0</v>
      </c>
      <c r="F29" s="106"/>
      <c r="G29" s="106"/>
      <c r="H29" s="214"/>
      <c r="I29" s="85" t="s">
        <v>44</v>
      </c>
      <c r="J29" s="1">
        <v>7200</v>
      </c>
      <c r="K29" s="107"/>
    </row>
    <row r="30" spans="2:13">
      <c r="B30" s="108"/>
      <c r="C30" s="214"/>
      <c r="D30" s="85" t="s">
        <v>40</v>
      </c>
      <c r="E30" s="1">
        <v>120</v>
      </c>
      <c r="F30" s="106"/>
      <c r="G30" s="106"/>
      <c r="H30" s="214"/>
      <c r="I30" s="85" t="s">
        <v>40</v>
      </c>
      <c r="J30" s="1">
        <v>7200</v>
      </c>
      <c r="K30" s="107"/>
    </row>
    <row r="31" spans="2:13">
      <c r="B31" s="108"/>
      <c r="C31" s="214" t="s">
        <v>3</v>
      </c>
      <c r="D31" s="85" t="s">
        <v>4</v>
      </c>
      <c r="E31" s="1" t="s">
        <v>38</v>
      </c>
      <c r="F31" s="106"/>
      <c r="G31" s="106"/>
      <c r="H31" s="214" t="s">
        <v>3</v>
      </c>
      <c r="I31" s="85" t="s">
        <v>4</v>
      </c>
      <c r="J31" s="1" t="s">
        <v>172</v>
      </c>
      <c r="K31" s="107"/>
    </row>
    <row r="32" spans="2:13">
      <c r="B32" s="108"/>
      <c r="C32" s="214"/>
      <c r="D32" s="85" t="s">
        <v>5</v>
      </c>
      <c r="E32" s="1" t="s">
        <v>38</v>
      </c>
      <c r="F32" s="106"/>
      <c r="G32" s="106"/>
      <c r="H32" s="214"/>
      <c r="I32" s="85" t="s">
        <v>5</v>
      </c>
      <c r="J32" s="1" t="s">
        <v>172</v>
      </c>
      <c r="K32" s="107"/>
    </row>
    <row r="33" spans="2:11">
      <c r="B33" s="108"/>
      <c r="C33" s="214"/>
      <c r="D33" s="85" t="s">
        <v>6</v>
      </c>
      <c r="E33" s="1" t="s">
        <v>38</v>
      </c>
      <c r="F33" s="106"/>
      <c r="G33" s="106"/>
      <c r="H33" s="214"/>
      <c r="I33" s="85" t="s">
        <v>6</v>
      </c>
      <c r="J33" s="1" t="s">
        <v>172</v>
      </c>
      <c r="K33" s="107"/>
    </row>
    <row r="34" spans="2:11">
      <c r="B34" s="108"/>
      <c r="C34" s="214"/>
      <c r="D34" s="85" t="s">
        <v>7</v>
      </c>
      <c r="E34" s="1" t="s">
        <v>38</v>
      </c>
      <c r="F34" s="106"/>
      <c r="G34" s="106"/>
      <c r="H34" s="214"/>
      <c r="I34" s="85" t="s">
        <v>7</v>
      </c>
      <c r="J34" s="1" t="s">
        <v>172</v>
      </c>
      <c r="K34" s="107"/>
    </row>
    <row r="35" spans="2:11">
      <c r="B35" s="108"/>
      <c r="C35" s="214" t="s">
        <v>8</v>
      </c>
      <c r="D35" s="85" t="s">
        <v>9</v>
      </c>
      <c r="E35" s="1" t="s">
        <v>38</v>
      </c>
      <c r="F35" s="106"/>
      <c r="G35" s="106"/>
      <c r="H35" s="214" t="s">
        <v>8</v>
      </c>
      <c r="I35" s="85" t="s">
        <v>9</v>
      </c>
      <c r="J35" s="1" t="s">
        <v>172</v>
      </c>
      <c r="K35" s="107"/>
    </row>
    <row r="36" spans="2:11">
      <c r="B36" s="108"/>
      <c r="C36" s="214"/>
      <c r="D36" s="85" t="s">
        <v>10</v>
      </c>
      <c r="E36" s="1" t="s">
        <v>38</v>
      </c>
      <c r="F36" s="106"/>
      <c r="G36" s="106"/>
      <c r="H36" s="214"/>
      <c r="I36" s="85" t="s">
        <v>10</v>
      </c>
      <c r="J36" s="1" t="s">
        <v>172</v>
      </c>
      <c r="K36" s="107"/>
    </row>
    <row r="37" spans="2:11">
      <c r="B37" s="108"/>
      <c r="C37" s="214"/>
      <c r="D37" s="85" t="s">
        <v>11</v>
      </c>
      <c r="E37" s="1" t="s">
        <v>38</v>
      </c>
      <c r="F37" s="106"/>
      <c r="G37" s="106"/>
      <c r="H37" s="214"/>
      <c r="I37" s="85" t="s">
        <v>11</v>
      </c>
      <c r="J37" s="1" t="s">
        <v>172</v>
      </c>
      <c r="K37" s="107"/>
    </row>
    <row r="38" spans="2:11">
      <c r="B38" s="108"/>
      <c r="C38" s="214"/>
      <c r="D38" s="85" t="s">
        <v>12</v>
      </c>
      <c r="E38" s="1">
        <v>1</v>
      </c>
      <c r="F38" s="106"/>
      <c r="G38" s="106"/>
      <c r="H38" s="214"/>
      <c r="I38" s="85" t="s">
        <v>12</v>
      </c>
      <c r="J38" s="1">
        <v>0</v>
      </c>
      <c r="K38" s="107"/>
    </row>
    <row r="39" spans="2:11" ht="14.4" thickBot="1">
      <c r="B39" s="108"/>
      <c r="C39" s="215"/>
      <c r="D39" s="86" t="s">
        <v>13</v>
      </c>
      <c r="E39" s="2">
        <v>1</v>
      </c>
      <c r="F39" s="106"/>
      <c r="G39" s="106"/>
      <c r="H39" s="215"/>
      <c r="I39" s="86" t="s">
        <v>13</v>
      </c>
      <c r="J39" s="2">
        <v>0</v>
      </c>
      <c r="K39" s="107"/>
    </row>
    <row r="40" spans="2:11" ht="14.4" thickBot="1">
      <c r="B40" s="103"/>
      <c r="C40" s="104"/>
      <c r="D40" s="104"/>
      <c r="E40" s="104"/>
      <c r="F40" s="104"/>
      <c r="G40" s="104"/>
      <c r="H40" s="104"/>
      <c r="I40" s="104"/>
      <c r="J40" s="104"/>
      <c r="K40" s="105"/>
    </row>
  </sheetData>
  <mergeCells count="20">
    <mergeCell ref="C6:E6"/>
    <mergeCell ref="H6:J6"/>
    <mergeCell ref="C7:C9"/>
    <mergeCell ref="H7:H9"/>
    <mergeCell ref="C10:C12"/>
    <mergeCell ref="H10:H12"/>
    <mergeCell ref="C24:E24"/>
    <mergeCell ref="H24:J24"/>
    <mergeCell ref="C13:C16"/>
    <mergeCell ref="H13:H16"/>
    <mergeCell ref="C17:C21"/>
    <mergeCell ref="H17:H21"/>
    <mergeCell ref="C31:C34"/>
    <mergeCell ref="H31:H34"/>
    <mergeCell ref="C35:C39"/>
    <mergeCell ref="H35:H39"/>
    <mergeCell ref="C25:C27"/>
    <mergeCell ref="C28:C30"/>
    <mergeCell ref="H25:H27"/>
    <mergeCell ref="H28:H30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27" t="s">
        <v>141</v>
      </c>
      <c r="C1" s="184"/>
      <c r="D1" s="170"/>
      <c r="F1" s="35"/>
      <c r="G1" s="35"/>
      <c r="H1" s="228" t="s">
        <v>141</v>
      </c>
      <c r="I1" s="184"/>
      <c r="J1" s="170"/>
      <c r="L1" s="35"/>
    </row>
    <row r="2" spans="2:16" ht="17.399999999999999">
      <c r="B2" s="40" t="s">
        <v>142</v>
      </c>
      <c r="C2" s="182" t="s">
        <v>143</v>
      </c>
      <c r="D2" s="177"/>
      <c r="F2" s="35"/>
      <c r="H2" s="39" t="s">
        <v>142</v>
      </c>
      <c r="I2" s="182" t="s">
        <v>143</v>
      </c>
      <c r="J2" s="177"/>
      <c r="L2" s="35"/>
      <c r="N2" s="217" t="s">
        <v>154</v>
      </c>
      <c r="O2" s="218"/>
      <c r="P2" s="219"/>
    </row>
    <row r="3" spans="2:16" ht="15" customHeight="1">
      <c r="B3" s="38" t="s">
        <v>144</v>
      </c>
      <c r="C3" s="176">
        <f>[1]Calculator!N18</f>
        <v>0.75</v>
      </c>
      <c r="D3" s="177"/>
      <c r="F3" s="35"/>
      <c r="G3" s="37"/>
      <c r="H3" s="36" t="s">
        <v>144</v>
      </c>
      <c r="I3" s="176">
        <f>[1]Calculator!N18</f>
        <v>0.75</v>
      </c>
      <c r="J3" s="177"/>
      <c r="L3" s="35"/>
      <c r="N3" s="220"/>
      <c r="O3" s="186"/>
      <c r="P3" s="221"/>
    </row>
    <row r="4" spans="2:16" ht="15" customHeight="1">
      <c r="B4" s="38" t="s">
        <v>145</v>
      </c>
      <c r="C4" s="176">
        <f>[1]Calculator!N19</f>
        <v>0.875</v>
      </c>
      <c r="D4" s="177"/>
      <c r="F4" s="35"/>
      <c r="G4" s="37"/>
      <c r="H4" s="36" t="s">
        <v>145</v>
      </c>
      <c r="I4" s="176">
        <f>[1]Calculator!N19</f>
        <v>0.875</v>
      </c>
      <c r="J4" s="177"/>
      <c r="L4" s="35"/>
      <c r="N4" s="222"/>
      <c r="O4" s="223"/>
      <c r="P4" s="177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24" t="s">
        <v>146</v>
      </c>
      <c r="C6" s="34" t="s">
        <v>147</v>
      </c>
      <c r="D6" s="34" t="s">
        <v>148</v>
      </c>
      <c r="E6" s="33" t="s">
        <v>149</v>
      </c>
      <c r="F6" s="33" t="s">
        <v>150</v>
      </c>
      <c r="G6" s="32"/>
      <c r="H6" s="226" t="s">
        <v>146</v>
      </c>
      <c r="I6" s="31" t="s">
        <v>147</v>
      </c>
      <c r="J6" s="31" t="s">
        <v>148</v>
      </c>
      <c r="K6" s="30" t="s">
        <v>149</v>
      </c>
      <c r="L6" s="30" t="s">
        <v>150</v>
      </c>
    </row>
    <row r="7" spans="2:16" ht="14.4">
      <c r="B7" s="225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25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73" t="s">
        <v>151</v>
      </c>
      <c r="C9" s="184"/>
      <c r="D9" s="184"/>
      <c r="E9" s="184"/>
      <c r="F9" s="170"/>
      <c r="H9" s="174" t="s">
        <v>152</v>
      </c>
      <c r="I9" s="184"/>
      <c r="J9" s="184"/>
      <c r="K9" s="184"/>
      <c r="L9" s="170"/>
    </row>
    <row r="10" spans="2:16" ht="14.4">
      <c r="B10" s="28" t="s">
        <v>153</v>
      </c>
      <c r="C10" s="27" t="s">
        <v>147</v>
      </c>
      <c r="D10" s="27" t="s">
        <v>148</v>
      </c>
      <c r="E10" s="27" t="s">
        <v>149</v>
      </c>
      <c r="F10" s="27" t="s">
        <v>150</v>
      </c>
      <c r="H10" s="28" t="s">
        <v>153</v>
      </c>
      <c r="I10" s="27" t="s">
        <v>147</v>
      </c>
      <c r="J10" s="27" t="s">
        <v>148</v>
      </c>
      <c r="K10" s="27" t="s">
        <v>149</v>
      </c>
      <c r="L10" s="27" t="s">
        <v>150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B6:B7"/>
    <mergeCell ref="H6:H7"/>
    <mergeCell ref="B9:F9"/>
    <mergeCell ref="H9:L9"/>
    <mergeCell ref="B1:D1"/>
    <mergeCell ref="H1:J1"/>
    <mergeCell ref="C2:D2"/>
    <mergeCell ref="I2:J2"/>
    <mergeCell ref="N2:P4"/>
    <mergeCell ref="C3:D3"/>
    <mergeCell ref="C4:D4"/>
    <mergeCell ref="I3:J3"/>
    <mergeCell ref="I4:J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Instructions</vt:lpstr>
      <vt:lpstr>Calculator</vt:lpstr>
      <vt:lpstr>Input Calculations</vt:lpstr>
      <vt:lpstr>Lookup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2026-08-17T15:46:42Z</dcterms:modified>
</cp:coreProperties>
</file>